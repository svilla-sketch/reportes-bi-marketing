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52557\Downloads\"/>
    </mc:Choice>
  </mc:AlternateContent>
  <xr:revisionPtr revIDLastSave="0" documentId="8_{8C59001A-C6A8-4573-89B3-99795806139D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KPIs 2T" sheetId="14" r:id="rId1"/>
    <sheet name="KPIs Q2 por persona" sheetId="15" r:id="rId2"/>
    <sheet name="KPIs Q2 por equipo" sheetId="16" r:id="rId3"/>
  </sheets>
  <calcPr calcId="191029"/>
  <pivotCaches>
    <pivotCache cacheId="11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14" l="1"/>
  <c r="C60" i="14"/>
  <c r="C59" i="14"/>
  <c r="D58" i="14"/>
  <c r="C58" i="14"/>
  <c r="C52" i="14"/>
  <c r="C51" i="14"/>
  <c r="C50" i="14"/>
  <c r="D50" i="14" s="1"/>
  <c r="D29" i="14"/>
  <c r="C29" i="14" s="1"/>
  <c r="Q3" i="14"/>
  <c r="O2" i="14"/>
  <c r="O25" i="14" s="1"/>
  <c r="Q2" i="14" l="1"/>
  <c r="Q25" i="14" s="1"/>
</calcChain>
</file>

<file path=xl/sharedStrings.xml><?xml version="1.0" encoding="utf-8"?>
<sst xmlns="http://schemas.openxmlformats.org/spreadsheetml/2006/main" count="1296" uniqueCount="167">
  <si>
    <t>Total</t>
  </si>
  <si>
    <t>Proyecto</t>
  </si>
  <si>
    <t>Kos</t>
  </si>
  <si>
    <t>Colón</t>
  </si>
  <si>
    <t>Zen</t>
  </si>
  <si>
    <t>Wacuz</t>
  </si>
  <si>
    <t>Óscar Valencia</t>
  </si>
  <si>
    <t>Armando Pérez</t>
  </si>
  <si>
    <t>Mariana Méndez</t>
  </si>
  <si>
    <t>Rodrigo Rico</t>
  </si>
  <si>
    <t>Areli Carrasco</t>
  </si>
  <si>
    <t>Joselin Vega</t>
  </si>
  <si>
    <t>Mariana Irigoyen</t>
  </si>
  <si>
    <t>Adriana Carrasco</t>
  </si>
  <si>
    <t>Programa</t>
  </si>
  <si>
    <t>Ángel Vázquez</t>
  </si>
  <si>
    <t>Brianda Ramírez</t>
  </si>
  <si>
    <t>Ana Serrano</t>
  </si>
  <si>
    <t>Brenda Quintero</t>
  </si>
  <si>
    <t>Q1</t>
  </si>
  <si>
    <t>Q2</t>
  </si>
  <si>
    <t>Mar Negro</t>
  </si>
  <si>
    <t>Abril</t>
  </si>
  <si>
    <t>Proyecto Estructural</t>
  </si>
  <si>
    <t>PU</t>
  </si>
  <si>
    <t>Cambio de Uso de Suelo</t>
  </si>
  <si>
    <t>Inicio Construcción</t>
  </si>
  <si>
    <t>Santian</t>
  </si>
  <si>
    <t>RRO</t>
  </si>
  <si>
    <t>Cero cambios Programa (salvo fuerza mayor)</t>
  </si>
  <si>
    <t>ERP al día (Reporte quincenal OV)</t>
  </si>
  <si>
    <t>Max UN incidente de seguridad al mes</t>
  </si>
  <si>
    <t>Evaluación calidad</t>
  </si>
  <si>
    <t>Evaluación orden y limpieza</t>
  </si>
  <si>
    <t>Miguel Elizalde</t>
  </si>
  <si>
    <t>Almacén al día en ERP (reporte mensual físico vs virtual)</t>
  </si>
  <si>
    <t>Inventario de herramienta completo y actualizado (reporte mensual físico vs virtual)</t>
  </si>
  <si>
    <t>Inventario de madera completo y actualizado (reporte mensual físico vs virtual)</t>
  </si>
  <si>
    <t>Inventario de equipo de seguridad completo y actualizado (reporte mensual físico vs virtual)</t>
  </si>
  <si>
    <t>Estados financieros mensuales conciliados 15 días tolerancia</t>
  </si>
  <si>
    <t>Mensual</t>
  </si>
  <si>
    <t>Cero incidencias en suministros</t>
  </si>
  <si>
    <t>Monitoreo suministro agua</t>
  </si>
  <si>
    <t>Cero incidencias en pago de nóminas</t>
  </si>
  <si>
    <t>Fecha</t>
  </si>
  <si>
    <t>7 Escrituraciones</t>
  </si>
  <si>
    <t>Saúl Villa</t>
  </si>
  <si>
    <t>KPIs</t>
  </si>
  <si>
    <t>Lovable</t>
  </si>
  <si>
    <t>Junio</t>
  </si>
  <si>
    <t>Juan Ramón Moreno Flores</t>
  </si>
  <si>
    <t>Dif</t>
  </si>
  <si>
    <t>Víctor Villa Walls</t>
  </si>
  <si>
    <t>Mayo</t>
  </si>
  <si>
    <t>Permiso 50% Venta</t>
  </si>
  <si>
    <t>P.C.</t>
  </si>
  <si>
    <t>P.U.</t>
  </si>
  <si>
    <t>Lotificación</t>
  </si>
  <si>
    <t>IGECEM</t>
  </si>
  <si>
    <t>Lic. Construcción</t>
  </si>
  <si>
    <t>Seis tomas de agua</t>
  </si>
  <si>
    <t>Propiedad 8 lotes</t>
  </si>
  <si>
    <t>Proyecto Ejecutivo completo</t>
  </si>
  <si>
    <t>Fachada terminada</t>
  </si>
  <si>
    <t>P.U. Preliminar</t>
  </si>
  <si>
    <t>Compra terreno 2</t>
  </si>
  <si>
    <t>Coplademun</t>
  </si>
  <si>
    <t>Fusion</t>
  </si>
  <si>
    <t>Factibilidad</t>
  </si>
  <si>
    <t>50% Avance Manifestación</t>
  </si>
  <si>
    <t>Objetivo Empresa</t>
  </si>
  <si>
    <t>Objetivo Lider</t>
  </si>
  <si>
    <t xml:space="preserve">KPI </t>
  </si>
  <si>
    <t>Responsable 1</t>
  </si>
  <si>
    <t>Responsable 2</t>
  </si>
  <si>
    <t>Responsable 3</t>
  </si>
  <si>
    <t>Lider</t>
  </si>
  <si>
    <t>Obra terminada al 100%</t>
  </si>
  <si>
    <t xml:space="preserve">Cumplimiento del presupuesto, dispersión &lt;2% </t>
  </si>
  <si>
    <t>Cumplimiento del programa, dispersión &lt;2%</t>
  </si>
  <si>
    <t>Estimaciones semanales al corriente para emitir destajos (una falta = 0 al mes)</t>
  </si>
  <si>
    <t>Cero pedidos sin requisicion (un error = 0 por el mes)</t>
  </si>
  <si>
    <t>Jorge Guerra</t>
  </si>
  <si>
    <t>Miguel Rivera</t>
  </si>
  <si>
    <t>Control Almacén</t>
  </si>
  <si>
    <t>Cierre de presupuesto</t>
  </si>
  <si>
    <t>Reporte presupuestado vs gastado por partida</t>
  </si>
  <si>
    <t>Tramitologia KOS para vender 50% de las unidades en el Q2</t>
  </si>
  <si>
    <t>Autorización Condominio</t>
  </si>
  <si>
    <t>Protocolización y folios</t>
  </si>
  <si>
    <t>Segunda visita para el 25%** (Nice to have)</t>
  </si>
  <si>
    <t>Construccion del 66% del proyecto, siguiendo al menos 98% de presupuesto y programa.</t>
  </si>
  <si>
    <t>Presupuesto y programa 100% sin cambios</t>
  </si>
  <si>
    <t>Lotificación lista</t>
  </si>
  <si>
    <t>Construccion del 66%</t>
  </si>
  <si>
    <t>Incremento de capacidad de obra iniciamos con 2 equipos de 7 personas</t>
  </si>
  <si>
    <t>Sergio Oliva</t>
  </si>
  <si>
    <t>100% de comercializacion</t>
  </si>
  <si>
    <t>3 enganches o 1.65 M</t>
  </si>
  <si>
    <t xml:space="preserve">30 visitas </t>
  </si>
  <si>
    <t xml:space="preserve">Inicio de comercializacion, logrando 2 ventas durante el trimestre. </t>
  </si>
  <si>
    <t>Tramitologia al 100% de Santian para 8 lotes</t>
  </si>
  <si>
    <t>Lic. Construcción de una casa</t>
  </si>
  <si>
    <t>Presupuesto y Programa preliminar para inicio de comercialiazacion</t>
  </si>
  <si>
    <t>2 contratos o 2.32 M</t>
  </si>
  <si>
    <t>20 visitas</t>
  </si>
  <si>
    <t>Autorización de Cambio de Uso de Suelo e inicio de construccion</t>
  </si>
  <si>
    <t>Autorizacion de cambio de uso de suelo y expediente listo para ingresar Regimen en Condominio</t>
  </si>
  <si>
    <t>Kick off: Inicio de construcción con información de proyecto completo</t>
  </si>
  <si>
    <t>Proyecto ejecutivo final</t>
  </si>
  <si>
    <t>50% P.U (cimentación y primer piso; completo Nice to have)</t>
  </si>
  <si>
    <t>Programa Cimentacion</t>
  </si>
  <si>
    <t>4 ventas y crédito puente autorizado</t>
  </si>
  <si>
    <t>4 ventas o 4.3 mdp en flujo</t>
  </si>
  <si>
    <t>40 visitas</t>
  </si>
  <si>
    <t>Evento de apertura 50 confirmaciones</t>
  </si>
  <si>
    <t>Autorizacion de crédito puente</t>
  </si>
  <si>
    <t>Expediente completo de carpeta técnica, financiera y juridica</t>
  </si>
  <si>
    <t>Autorizacion de crédito de 27 mdp</t>
  </si>
  <si>
    <t>Preparativo validado para inicio de proyecto exitoso</t>
  </si>
  <si>
    <t>Preparativo Validado para inicio de proyecto exitoso</t>
  </si>
  <si>
    <t>Compra terreno ante Notario</t>
  </si>
  <si>
    <t>Contrato de compraventa</t>
  </si>
  <si>
    <t>Saul Villa</t>
  </si>
  <si>
    <t>Tramitologia lista para compraventa</t>
  </si>
  <si>
    <t>Autorizacion de cambio de uso de suelo</t>
  </si>
  <si>
    <t>P.U. Preliminar para determinacion de precios</t>
  </si>
  <si>
    <t>Adquisiscion terreno e inicio de preparativo N26</t>
  </si>
  <si>
    <t xml:space="preserve">Figura legal firmada </t>
  </si>
  <si>
    <t>Adquisicion terreno</t>
  </si>
  <si>
    <t>Compra de terreno e inicio de preparativo N26</t>
  </si>
  <si>
    <t>Anteproyecto arquitectectonico</t>
  </si>
  <si>
    <t>Inicio Expediente N26</t>
  </si>
  <si>
    <t>Inicio de Construcción Edificio Romero</t>
  </si>
  <si>
    <t>Cotizacion aceptada</t>
  </si>
  <si>
    <t>Admin</t>
  </si>
  <si>
    <t>100% de las funciones de Admin en ERP.</t>
  </si>
  <si>
    <t>Generacion de ahorros por compra de insumos</t>
  </si>
  <si>
    <t>Excel de precios y ahorro</t>
  </si>
  <si>
    <t>Creacion de matriz de compra por proyecto</t>
  </si>
  <si>
    <t>Mejora de condiciones de crédito con proveedores</t>
  </si>
  <si>
    <t>Registro del 100% de documentos fiscales a traves del ERP</t>
  </si>
  <si>
    <t>100% de pagos con soporte documental completo</t>
  </si>
  <si>
    <t>Cero gastos no deducibles sin aprobacion</t>
  </si>
  <si>
    <t>100% de proveedores conciliados</t>
  </si>
  <si>
    <t>Calendario de pagos vs real al 95%</t>
  </si>
  <si>
    <t>90% de pagos semanales ejecutados con base a programacion</t>
  </si>
  <si>
    <t xml:space="preserve">Cobranza al 95% de clientes </t>
  </si>
  <si>
    <t>Facturacion vs Ingresos al 100% con corte mensual a los 7 días</t>
  </si>
  <si>
    <t>Cobro del agua de TH al 100% mes vencido</t>
  </si>
  <si>
    <t>Cobranza de clientes al 100% (Un retraso = 0 al mes)</t>
  </si>
  <si>
    <t>Unificacion de Contabilidad en el ERP</t>
  </si>
  <si>
    <t>Conciliacion global 100%: Cuentas bancarias, tarjetas, rev (7 dias)</t>
  </si>
  <si>
    <t>Estrategia IVA Cero (presentacion abril, implementacion mayo, junio funcional)</t>
  </si>
  <si>
    <t>Unificación de Contabilidad en ERP</t>
  </si>
  <si>
    <t>Reportes de Gastos de Proyectos vs Presupuestos implementados y adoptados al 100% por la empresa</t>
  </si>
  <si>
    <t>ERP implementado al 100% - Nómina</t>
  </si>
  <si>
    <t>ERP implementado al 100% - Asistencias</t>
  </si>
  <si>
    <t>ERP implementado al 100% - Dashboards control costos</t>
  </si>
  <si>
    <t>ERP implementado al 100% - CRM e Ingresos</t>
  </si>
  <si>
    <t xml:space="preserve">Cumplimiento de entregas de PU y Programa </t>
  </si>
  <si>
    <t>Reporte quincenal gasto y flujo vs presupuesto por proyecto</t>
  </si>
  <si>
    <t>Total Juan Ramón Moreno Flores</t>
  </si>
  <si>
    <t>Total Saúl Villa</t>
  </si>
  <si>
    <t>Total Víctor Villa Walls</t>
  </si>
  <si>
    <t>(en blanco)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</si>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</sst>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&quot;$&quot;#,##0.00"/>
    <numFmt numFmtId="171" formatCode="&quot;$&quot;#,##0"/>
  </numFmts>
  <fonts count="8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b/>
      <sz val="11"/>
      <color rgb="FF000000"/>
      <name val="Arial"/>
    </font>
    <font>
      <b/>
      <sz val="11"/>
      <color rgb="FFFFFFFF"/>
      <name val="Arial"/>
    </font>
    <font>
      <sz val="11"/>
      <color theme="1"/>
      <name val="Arial"/>
    </font>
    <font>
      <u/>
      <sz val="11"/>
      <color theme="1"/>
      <name val="Arial"/>
    </font>
    <font>
      <b/>
      <sz val="11"/>
      <color theme="1"/>
      <name val="Arial"/>
    </font>
    <font>
      <u/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74F4B"/>
        <bgColor rgb="FF874F4B"/>
      </patternFill>
    </fill>
    <fill>
      <patternFill patternType="solid">
        <fgColor rgb="FFEFEFEF"/>
        <bgColor rgb="FFEFEFE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2" fillId="4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171" fontId="4" fillId="0" borderId="3" xfId="0" applyNumberFormat="1" applyFont="1" applyBorder="1" applyAlignment="1">
      <alignment vertical="center"/>
    </xf>
    <xf numFmtId="0" fontId="2" fillId="4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171" fontId="4" fillId="4" borderId="3" xfId="0" applyNumberFormat="1" applyFont="1" applyFill="1" applyBorder="1" applyAlignment="1">
      <alignment horizontal="left" vertical="center" wrapText="1"/>
    </xf>
    <xf numFmtId="171" fontId="4" fillId="4" borderId="3" xfId="0" applyNumberFormat="1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169" fontId="4" fillId="0" borderId="0" xfId="0" applyNumberFormat="1" applyFont="1" applyAlignment="1">
      <alignment vertical="center"/>
    </xf>
    <xf numFmtId="0" fontId="4" fillId="0" borderId="4" xfId="0" applyFont="1" applyBorder="1" applyAlignment="1">
      <alignment vertical="center"/>
    </xf>
    <xf numFmtId="10" fontId="4" fillId="0" borderId="0" xfId="0" applyNumberFormat="1" applyFont="1" applyAlignment="1">
      <alignment vertical="center"/>
    </xf>
    <xf numFmtId="0" fontId="4" fillId="0" borderId="3" xfId="0" applyFont="1" applyBorder="1" applyAlignment="1">
      <alignment horizontal="left" vertical="center"/>
    </xf>
    <xf numFmtId="171" fontId="6" fillId="0" borderId="4" xfId="0" applyNumberFormat="1" applyFont="1" applyBorder="1" applyAlignment="1">
      <alignment horizontal="left" vertical="center"/>
    </xf>
    <xf numFmtId="171" fontId="4" fillId="0" borderId="3" xfId="0" applyNumberFormat="1" applyFont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 wrapText="1"/>
    </xf>
    <xf numFmtId="171" fontId="6" fillId="4" borderId="4" xfId="0" applyNumberFormat="1" applyFont="1" applyFill="1" applyBorder="1" applyAlignment="1">
      <alignment horizontal="left" vertical="center"/>
    </xf>
    <xf numFmtId="171" fontId="4" fillId="0" borderId="5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vertical="center" wrapText="1"/>
    </xf>
    <xf numFmtId="0" fontId="6" fillId="4" borderId="3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1" fillId="2" borderId="0" xfId="0" applyFont="1" applyFill="1"/>
    <xf numFmtId="0" fontId="1" fillId="0" borderId="0" xfId="0" applyFont="1" applyAlignment="1">
      <alignment horizontal="left"/>
    </xf>
    <xf numFmtId="0" fontId="0" fillId="0" borderId="6" xfId="0" pivotButton="1" applyBorder="1"/>
    <xf numFmtId="0" fontId="0" fillId="0" borderId="7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aul Villa" refreshedDate="46128.523844212963" refreshedVersion="8" recordCount="114" xr:uid="{00000000-000A-0000-FFFF-FFFF00000000}">
  <cacheSource type="worksheet">
    <worksheetSource ref="A1:I115" sheet="KPIs 2T"/>
  </cacheSource>
  <cacheFields count="9">
    <cacheField name="Proyecto" numFmtId="0">
      <sharedItems count="9">
        <s v="Kos"/>
        <s v="P.C."/>
        <s v="Santian"/>
        <s v="Zen"/>
        <s v="Mar Negro"/>
        <s v="Colón"/>
        <s v="Wacuz"/>
        <s v="RRO"/>
        <s v="Admin"/>
      </sharedItems>
    </cacheField>
    <cacheField name="Objetivo Empresa" numFmtId="0">
      <sharedItems count="12">
        <s v="7 Escrituraciones"/>
        <s v="Construccion del 66% del proyecto, siguiendo al menos 98% de presupuesto y programa."/>
        <s v="100% de comercializacion"/>
        <s v="Inicio de comercializacion, logrando 2 ventas durante el trimestre. "/>
        <s v="Autorización de Cambio de Uso de Suelo e inicio de construccion"/>
        <s v="4 ventas y crédito puente autorizado"/>
        <s v="Preparativo validado para inicio de proyecto exitoso"/>
        <s v="Compra terreno ante Notario"/>
        <s v="Adquisiscion terreno e inicio de preparativo N26"/>
        <s v="Inicio de Construcción Edificio Romero"/>
        <s v="100% de las funciones de Admin en ERP."/>
        <s v="Reportes de Gastos de Proyectos vs Presupuestos implementados y adoptados al 100% por la empresa"/>
      </sharedItems>
    </cacheField>
    <cacheField name="Objetivo Lider" numFmtId="0">
      <sharedItems containsMixedTypes="1" containsNumber="1" containsInteger="1" minValue="1650000" maxValue="18792590" count="27">
        <s v="Obra terminada al 100%"/>
        <s v="Control Almacén"/>
        <s v="Cierre de presupuesto"/>
        <s v="Tramitologia KOS para vender 50% de las unidades en el Q2"/>
        <n v="18792590"/>
        <s v="Presupuesto y programa 100% sin cambios"/>
        <s v="Lotificación lista"/>
        <s v="Construccion del 66%"/>
        <n v="1650000"/>
        <s v="Tramitologia al 100% de Santian para 8 lotes"/>
        <s v="Presupuesto y Programa preliminar para inicio de comercialiazacion"/>
        <n v="2320000"/>
        <s v="Autorizacion de cambio de uso de suelo y expediente listo para ingresar Regimen en Condominio"/>
        <s v="Kick off: Inicio de construcción con información de proyecto completo"/>
        <n v="4700000"/>
        <s v="Autorizacion de crédito puente"/>
        <s v="Preparativo Validado para inicio de proyecto exitoso"/>
        <s v="Contrato de compraventa"/>
        <s v="Cambio de Uso de Suelo"/>
        <s v="Figura legal firmada "/>
        <s v="Compra de terreno e inicio de preparativo N26"/>
        <s v="Inicio de Construcción Edificio Romero"/>
        <s v="Generacion de ahorros por compra de insumos"/>
        <s v="Registro del 100% de documentos fiscales a traves del ERP"/>
        <s v="Cobranza al 95% de clientes "/>
        <s v="Unificacion de Contabilidad en el ERP"/>
        <s v="Reportes de Gastos de Proyectos vs Presupuestos implementados y adoptados al 100% por la empresa"/>
      </sharedItems>
    </cacheField>
    <cacheField name="KPI " numFmtId="0">
      <sharedItems containsMixedTypes="1" containsNumber="1" containsInteger="1" minValue="1650000" maxValue="18792590" count="86">
        <s v="Cumplimiento del presupuesto, dispersión &lt;2% "/>
        <s v="Cumplimiento del programa, dispersión &lt;2%"/>
        <s v="Cero cambios Programa (salvo fuerza mayor)"/>
        <s v="Estimaciones semanales al corriente para emitir destajos (una falta = 0 al mes)"/>
        <s v="ERP al día (Reporte quincenal OV)"/>
        <s v="Max UN incidente de seguridad al mes"/>
        <s v="Cero pedidos sin requisicion (un error = 0 por el mes)"/>
        <s v="Evaluación calidad"/>
        <s v="Evaluación orden y limpieza"/>
        <s v="Almacén al día en ERP (reporte mensual físico vs virtual)"/>
        <s v="Inventario de herramienta completo y actualizado (reporte mensual físico vs virtual)"/>
        <s v="Inventario de madera completo y actualizado (reporte mensual físico vs virtual)"/>
        <s v="Inventario de equipo de seguridad completo y actualizado (reporte mensual físico vs virtual)"/>
        <s v="Reporte presupuestado vs gastado por partida"/>
        <s v="Autorización Condominio"/>
        <s v="Protocolización y folios"/>
        <s v="Permiso 50% Venta"/>
        <s v="Segunda visita para el 25%** (Nice to have)"/>
        <n v="18792590"/>
        <s v="P.U."/>
        <s v="Programa"/>
        <s v="Lotificación"/>
        <s v="IGECEM"/>
        <s v="Lic. Construcción"/>
        <s v="Seis tomas de agua"/>
        <s v="Incremento de capacidad de obra iniciamos con 2 equipos de 7 personas"/>
        <n v="1650000"/>
        <s v="3 enganches o 1.65 M"/>
        <s v="30 visitas "/>
        <s v="Propiedad 8 lotes"/>
        <s v="Lic. Construcción de una casa"/>
        <s v="Proyecto Ejecutivo completo"/>
        <s v="P.U. Preliminar"/>
        <s v="Fachada terminada"/>
        <n v="2320000"/>
        <s v="2 contratos o 2.32 M"/>
        <s v="20 visitas"/>
        <s v="Coplademun"/>
        <s v="Compra terreno 2"/>
        <s v="Fusion"/>
        <s v="Factibilidad"/>
        <s v="Proyecto ejecutivo final"/>
        <s v="Proyecto Estructural"/>
        <s v="50% P.U (cimentación y primer piso; completo Nice to have)"/>
        <s v="Programa Cimentacion"/>
        <s v="Inicio Construcción"/>
        <n v="4700000"/>
        <s v="4 ventas o 4.3 mdp en flujo"/>
        <s v="40 visitas"/>
        <s v="Evento de apertura 50 confirmaciones"/>
        <s v="Expediente completo de carpeta técnica, financiera y juridica"/>
        <s v="Autorizacion de crédito de 27 mdp"/>
        <s v="50% Avance Manifestación"/>
        <s v="Tramitologia lista para compraventa"/>
        <s v="Autorizacion de cambio de uso de suelo"/>
        <s v="P.U. Preliminar para determinacion de precios"/>
        <s v="Adquisicion terreno"/>
        <s v="Anteproyecto arquitectectonico"/>
        <s v="Inicio Expediente N26"/>
        <s v="Cotizacion aceptada"/>
        <s v="PU"/>
        <s v="Excel de precios y ahorro"/>
        <s v="Creacion de matriz de compra por proyecto"/>
        <s v="Cero incidencias en suministros"/>
        <s v="Mejora de condiciones de crédito con proveedores"/>
        <s v="Monitoreo suministro agua"/>
        <s v="Registro del 100% de documentos fiscales a traves del ERP"/>
        <s v="100% de pagos con soporte documental completo"/>
        <s v="Cero gastos no deducibles sin aprobacion"/>
        <s v="100% de proveedores conciliados"/>
        <s v="Cero incidencias en pago de nóminas"/>
        <s v="Calendario de pagos vs real al 95%"/>
        <s v="90% de pagos semanales ejecutados con base a programacion"/>
        <s v="Facturacion vs Ingresos al 100% con corte mensual a los 7 días"/>
        <s v="Cobro del agua de TH al 100% mes vencido"/>
        <s v="Cobranza de clientes al 100% (Un retraso = 0 al mes)"/>
        <s v="Conciliacion global 100%: Cuentas bancarias, tarjetas, rev (7 dias)"/>
        <s v="Estrategia IVA Cero (presentacion abril, implementacion mayo, junio funcional)"/>
        <s v="Estados financieros mensuales conciliados 15 días tolerancia"/>
        <s v="Unificación de Contabilidad en ERP"/>
        <s v="ERP implementado al 100% - Nómina"/>
        <s v="ERP implementado al 100% - Asistencias"/>
        <s v="ERP implementado al 100% - Dashboards control costos"/>
        <s v="ERP implementado al 100% - CRM e Ingresos"/>
        <s v="Cumplimiento de entregas de PU y Programa "/>
        <s v="Reporte quincenal gasto y flujo vs presupuesto por proyecto"/>
      </sharedItems>
    </cacheField>
    <cacheField name="Responsable 1" numFmtId="0">
      <sharedItems count="18">
        <s v="Armando Pérez"/>
        <s v="Rodrigo Rico"/>
        <s v="Miguel Elizalde"/>
        <s v="Joselin Vega"/>
        <s v="Saúl Villa"/>
        <s v="Jorge Guerra"/>
        <s v="Mariana Méndez"/>
        <s v="Sergio Oliva"/>
        <s v="Ángel Vázquez"/>
        <s v="Brianda Ramírez"/>
        <s v="Víctor Villa Walls"/>
        <s v="Brenda Quintero"/>
        <s v="Juan Ramón Moreno Flores"/>
        <s v="Areli Carrasco"/>
        <s v="Adriana Carrasco"/>
        <s v="Mariana Irigoyen"/>
        <s v="Ana Serrano"/>
        <s v="Óscar Valencia"/>
      </sharedItems>
    </cacheField>
    <cacheField name="Responsable 2" numFmtId="0">
      <sharedItems containsBlank="1" count="13">
        <s v="Óscar Valencia"/>
        <m/>
        <s v="Jorge Guerra"/>
        <s v="Rodrigo Rico"/>
        <s v="Mariana Irigoyen"/>
        <s v="Miguel Rivera"/>
        <s v="Brenda Quintero"/>
        <s v="Armando Pérez"/>
        <s v="Brianda Ramírez"/>
        <s v="Saul Villa"/>
        <s v="Saúl Villa"/>
        <s v="Areli Carrasco"/>
        <s v="Adriana Carrasco"/>
      </sharedItems>
    </cacheField>
    <cacheField name="Responsable 3" numFmtId="0">
      <sharedItems containsBlank="1" count="10">
        <s v="Areli Carrasco"/>
        <m/>
        <s v="Miguel Rivera"/>
        <s v="Óscar Valencia"/>
        <s v="Joselin Vega"/>
        <s v="Mariana Méndez"/>
        <s v="Juan Ramón Moreno Flores"/>
        <s v="Armando Pérez"/>
        <s v="Rodrigo Rico"/>
        <s v="Víctor Villa Walls"/>
      </sharedItems>
    </cacheField>
    <cacheField name="Lider" numFmtId="0">
      <sharedItems count="3">
        <s v="Juan Ramón Moreno Flores"/>
        <s v="Víctor Villa Walls"/>
        <s v="Saúl Villa"/>
      </sharedItems>
    </cacheField>
    <cacheField name="Fech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x v="0"/>
    <x v="0"/>
    <x v="0"/>
    <x v="0"/>
    <x v="0"/>
    <x v="0"/>
    <x v="0"/>
    <x v="0"/>
    <s v="Q2"/>
  </r>
  <r>
    <x v="0"/>
    <x v="0"/>
    <x v="0"/>
    <x v="1"/>
    <x v="0"/>
    <x v="0"/>
    <x v="0"/>
    <x v="0"/>
    <s v="Q2"/>
  </r>
  <r>
    <x v="0"/>
    <x v="0"/>
    <x v="0"/>
    <x v="2"/>
    <x v="0"/>
    <x v="1"/>
    <x v="1"/>
    <x v="0"/>
    <s v="Q2"/>
  </r>
  <r>
    <x v="0"/>
    <x v="0"/>
    <x v="0"/>
    <x v="3"/>
    <x v="0"/>
    <x v="1"/>
    <x v="1"/>
    <x v="0"/>
    <s v="Mensual"/>
  </r>
  <r>
    <x v="0"/>
    <x v="0"/>
    <x v="0"/>
    <x v="4"/>
    <x v="0"/>
    <x v="1"/>
    <x v="1"/>
    <x v="0"/>
    <s v="Mensual"/>
  </r>
  <r>
    <x v="0"/>
    <x v="0"/>
    <x v="0"/>
    <x v="5"/>
    <x v="0"/>
    <x v="1"/>
    <x v="1"/>
    <x v="0"/>
    <s v="Mensual"/>
  </r>
  <r>
    <x v="0"/>
    <x v="0"/>
    <x v="0"/>
    <x v="6"/>
    <x v="0"/>
    <x v="1"/>
    <x v="1"/>
    <x v="0"/>
    <s v="Mensual"/>
  </r>
  <r>
    <x v="0"/>
    <x v="0"/>
    <x v="0"/>
    <x v="7"/>
    <x v="0"/>
    <x v="2"/>
    <x v="2"/>
    <x v="0"/>
    <s v="Mensual"/>
  </r>
  <r>
    <x v="0"/>
    <x v="0"/>
    <x v="0"/>
    <x v="8"/>
    <x v="0"/>
    <x v="2"/>
    <x v="2"/>
    <x v="0"/>
    <s v="Mensual"/>
  </r>
  <r>
    <x v="0"/>
    <x v="0"/>
    <x v="0"/>
    <x v="0"/>
    <x v="1"/>
    <x v="0"/>
    <x v="0"/>
    <x v="0"/>
    <s v="Q2"/>
  </r>
  <r>
    <x v="0"/>
    <x v="0"/>
    <x v="0"/>
    <x v="1"/>
    <x v="1"/>
    <x v="0"/>
    <x v="0"/>
    <x v="0"/>
    <s v="Q2"/>
  </r>
  <r>
    <x v="0"/>
    <x v="0"/>
    <x v="0"/>
    <x v="2"/>
    <x v="1"/>
    <x v="1"/>
    <x v="1"/>
    <x v="0"/>
    <s v="Q2"/>
  </r>
  <r>
    <x v="0"/>
    <x v="0"/>
    <x v="0"/>
    <x v="3"/>
    <x v="1"/>
    <x v="1"/>
    <x v="1"/>
    <x v="0"/>
    <s v="Mensual"/>
  </r>
  <r>
    <x v="0"/>
    <x v="0"/>
    <x v="0"/>
    <x v="4"/>
    <x v="1"/>
    <x v="1"/>
    <x v="1"/>
    <x v="0"/>
    <s v="Mensual"/>
  </r>
  <r>
    <x v="0"/>
    <x v="0"/>
    <x v="0"/>
    <x v="5"/>
    <x v="1"/>
    <x v="1"/>
    <x v="1"/>
    <x v="0"/>
    <s v="Mensual"/>
  </r>
  <r>
    <x v="0"/>
    <x v="0"/>
    <x v="0"/>
    <x v="6"/>
    <x v="1"/>
    <x v="1"/>
    <x v="1"/>
    <x v="0"/>
    <s v="Mensual"/>
  </r>
  <r>
    <x v="0"/>
    <x v="0"/>
    <x v="0"/>
    <x v="7"/>
    <x v="1"/>
    <x v="2"/>
    <x v="2"/>
    <x v="0"/>
    <s v="Mensual"/>
  </r>
  <r>
    <x v="0"/>
    <x v="0"/>
    <x v="0"/>
    <x v="8"/>
    <x v="1"/>
    <x v="2"/>
    <x v="2"/>
    <x v="0"/>
    <s v="Mensual"/>
  </r>
  <r>
    <x v="0"/>
    <x v="0"/>
    <x v="1"/>
    <x v="9"/>
    <x v="2"/>
    <x v="0"/>
    <x v="1"/>
    <x v="0"/>
    <s v="Mensual"/>
  </r>
  <r>
    <x v="0"/>
    <x v="0"/>
    <x v="1"/>
    <x v="10"/>
    <x v="2"/>
    <x v="0"/>
    <x v="1"/>
    <x v="0"/>
    <s v="Mensual"/>
  </r>
  <r>
    <x v="0"/>
    <x v="0"/>
    <x v="1"/>
    <x v="11"/>
    <x v="2"/>
    <x v="0"/>
    <x v="1"/>
    <x v="0"/>
    <s v="Mensual"/>
  </r>
  <r>
    <x v="0"/>
    <x v="0"/>
    <x v="1"/>
    <x v="12"/>
    <x v="2"/>
    <x v="0"/>
    <x v="1"/>
    <x v="0"/>
    <s v="Mensual"/>
  </r>
  <r>
    <x v="0"/>
    <x v="0"/>
    <x v="2"/>
    <x v="13"/>
    <x v="0"/>
    <x v="3"/>
    <x v="3"/>
    <x v="0"/>
    <s v="Junio"/>
  </r>
  <r>
    <x v="0"/>
    <x v="0"/>
    <x v="3"/>
    <x v="14"/>
    <x v="3"/>
    <x v="1"/>
    <x v="1"/>
    <x v="1"/>
    <s v="Abril"/>
  </r>
  <r>
    <x v="0"/>
    <x v="0"/>
    <x v="3"/>
    <x v="15"/>
    <x v="3"/>
    <x v="1"/>
    <x v="1"/>
    <x v="1"/>
    <s v="Abril"/>
  </r>
  <r>
    <x v="0"/>
    <x v="0"/>
    <x v="3"/>
    <x v="16"/>
    <x v="3"/>
    <x v="1"/>
    <x v="1"/>
    <x v="1"/>
    <s v="Mayo"/>
  </r>
  <r>
    <x v="0"/>
    <x v="0"/>
    <x v="3"/>
    <x v="17"/>
    <x v="3"/>
    <x v="1"/>
    <x v="1"/>
    <x v="1"/>
    <s v="Junio"/>
  </r>
  <r>
    <x v="0"/>
    <x v="0"/>
    <x v="4"/>
    <x v="18"/>
    <x v="4"/>
    <x v="4"/>
    <x v="4"/>
    <x v="2"/>
    <s v="Junio"/>
  </r>
  <r>
    <x v="1"/>
    <x v="1"/>
    <x v="5"/>
    <x v="19"/>
    <x v="5"/>
    <x v="5"/>
    <x v="5"/>
    <x v="1"/>
    <s v="Abril"/>
  </r>
  <r>
    <x v="1"/>
    <x v="1"/>
    <x v="5"/>
    <x v="20"/>
    <x v="5"/>
    <x v="5"/>
    <x v="5"/>
    <x v="1"/>
    <s v="Abril"/>
  </r>
  <r>
    <x v="1"/>
    <x v="1"/>
    <x v="6"/>
    <x v="21"/>
    <x v="3"/>
    <x v="1"/>
    <x v="1"/>
    <x v="1"/>
    <s v="Mayo"/>
  </r>
  <r>
    <x v="1"/>
    <x v="1"/>
    <x v="6"/>
    <x v="22"/>
    <x v="3"/>
    <x v="1"/>
    <x v="1"/>
    <x v="1"/>
    <s v="Mayo"/>
  </r>
  <r>
    <x v="1"/>
    <x v="1"/>
    <x v="6"/>
    <x v="23"/>
    <x v="3"/>
    <x v="1"/>
    <x v="1"/>
    <x v="1"/>
    <s v="Junio"/>
  </r>
  <r>
    <x v="1"/>
    <x v="1"/>
    <x v="6"/>
    <x v="24"/>
    <x v="3"/>
    <x v="1"/>
    <x v="1"/>
    <x v="1"/>
    <s v="Mayo"/>
  </r>
  <r>
    <x v="1"/>
    <x v="1"/>
    <x v="7"/>
    <x v="25"/>
    <x v="6"/>
    <x v="1"/>
    <x v="1"/>
    <x v="1"/>
    <s v="Abril"/>
  </r>
  <r>
    <x v="1"/>
    <x v="1"/>
    <x v="7"/>
    <x v="0"/>
    <x v="6"/>
    <x v="0"/>
    <x v="0"/>
    <x v="1"/>
    <s v="Mensual"/>
  </r>
  <r>
    <x v="1"/>
    <x v="1"/>
    <x v="7"/>
    <x v="1"/>
    <x v="6"/>
    <x v="0"/>
    <x v="0"/>
    <x v="1"/>
    <s v="Mensual"/>
  </r>
  <r>
    <x v="1"/>
    <x v="1"/>
    <x v="7"/>
    <x v="2"/>
    <x v="6"/>
    <x v="1"/>
    <x v="1"/>
    <x v="1"/>
    <s v="Mensual"/>
  </r>
  <r>
    <x v="1"/>
    <x v="1"/>
    <x v="7"/>
    <x v="3"/>
    <x v="6"/>
    <x v="1"/>
    <x v="1"/>
    <x v="1"/>
    <s v="Mensual"/>
  </r>
  <r>
    <x v="1"/>
    <x v="1"/>
    <x v="7"/>
    <x v="4"/>
    <x v="6"/>
    <x v="0"/>
    <x v="1"/>
    <x v="1"/>
    <s v="Mensual"/>
  </r>
  <r>
    <x v="1"/>
    <x v="1"/>
    <x v="7"/>
    <x v="5"/>
    <x v="6"/>
    <x v="1"/>
    <x v="1"/>
    <x v="1"/>
    <s v="Mensual"/>
  </r>
  <r>
    <x v="1"/>
    <x v="1"/>
    <x v="7"/>
    <x v="6"/>
    <x v="6"/>
    <x v="1"/>
    <x v="1"/>
    <x v="1"/>
    <s v="Mensual"/>
  </r>
  <r>
    <x v="1"/>
    <x v="1"/>
    <x v="7"/>
    <x v="7"/>
    <x v="6"/>
    <x v="2"/>
    <x v="2"/>
    <x v="1"/>
    <s v="Mensual"/>
  </r>
  <r>
    <x v="1"/>
    <x v="1"/>
    <x v="7"/>
    <x v="8"/>
    <x v="6"/>
    <x v="2"/>
    <x v="2"/>
    <x v="1"/>
    <s v="Mensual"/>
  </r>
  <r>
    <x v="1"/>
    <x v="1"/>
    <x v="1"/>
    <x v="9"/>
    <x v="7"/>
    <x v="0"/>
    <x v="1"/>
    <x v="1"/>
    <s v="Mensual"/>
  </r>
  <r>
    <x v="1"/>
    <x v="1"/>
    <x v="1"/>
    <x v="10"/>
    <x v="7"/>
    <x v="0"/>
    <x v="1"/>
    <x v="1"/>
    <s v="Mensual"/>
  </r>
  <r>
    <x v="1"/>
    <x v="1"/>
    <x v="1"/>
    <x v="11"/>
    <x v="7"/>
    <x v="0"/>
    <x v="1"/>
    <x v="1"/>
    <s v="Mensual"/>
  </r>
  <r>
    <x v="1"/>
    <x v="1"/>
    <x v="1"/>
    <x v="12"/>
    <x v="7"/>
    <x v="0"/>
    <x v="1"/>
    <x v="1"/>
    <s v="Mensual"/>
  </r>
  <r>
    <x v="1"/>
    <x v="2"/>
    <x v="8"/>
    <x v="26"/>
    <x v="4"/>
    <x v="1"/>
    <x v="1"/>
    <x v="2"/>
    <m/>
  </r>
  <r>
    <x v="1"/>
    <x v="2"/>
    <x v="8"/>
    <x v="27"/>
    <x v="8"/>
    <x v="1"/>
    <x v="1"/>
    <x v="2"/>
    <s v="Junio"/>
  </r>
  <r>
    <x v="1"/>
    <x v="2"/>
    <x v="8"/>
    <x v="28"/>
    <x v="9"/>
    <x v="6"/>
    <x v="1"/>
    <x v="2"/>
    <s v="Junio"/>
  </r>
  <r>
    <x v="2"/>
    <x v="3"/>
    <x v="9"/>
    <x v="29"/>
    <x v="3"/>
    <x v="1"/>
    <x v="1"/>
    <x v="1"/>
    <s v="Abril"/>
  </r>
  <r>
    <x v="2"/>
    <x v="3"/>
    <x v="9"/>
    <x v="30"/>
    <x v="3"/>
    <x v="1"/>
    <x v="1"/>
    <x v="1"/>
    <s v="Mayo"/>
  </r>
  <r>
    <x v="2"/>
    <x v="3"/>
    <x v="10"/>
    <x v="31"/>
    <x v="10"/>
    <x v="1"/>
    <x v="1"/>
    <x v="1"/>
    <s v="Abril"/>
  </r>
  <r>
    <x v="2"/>
    <x v="3"/>
    <x v="10"/>
    <x v="32"/>
    <x v="5"/>
    <x v="1"/>
    <x v="1"/>
    <x v="1"/>
    <s v="Abril"/>
  </r>
  <r>
    <x v="2"/>
    <x v="3"/>
    <x v="10"/>
    <x v="33"/>
    <x v="6"/>
    <x v="1"/>
    <x v="1"/>
    <x v="1"/>
    <s v="Abril"/>
  </r>
  <r>
    <x v="2"/>
    <x v="3"/>
    <x v="11"/>
    <x v="34"/>
    <x v="4"/>
    <x v="1"/>
    <x v="1"/>
    <x v="2"/>
    <m/>
  </r>
  <r>
    <x v="2"/>
    <x v="3"/>
    <x v="11"/>
    <x v="35"/>
    <x v="8"/>
    <x v="1"/>
    <x v="1"/>
    <x v="2"/>
    <s v="Junio"/>
  </r>
  <r>
    <x v="2"/>
    <x v="3"/>
    <x v="11"/>
    <x v="36"/>
    <x v="9"/>
    <x v="1"/>
    <x v="1"/>
    <x v="2"/>
    <s v="Junio"/>
  </r>
  <r>
    <x v="3"/>
    <x v="4"/>
    <x v="12"/>
    <x v="37"/>
    <x v="3"/>
    <x v="1"/>
    <x v="1"/>
    <x v="1"/>
    <s v="Abril"/>
  </r>
  <r>
    <x v="3"/>
    <x v="4"/>
    <x v="12"/>
    <x v="38"/>
    <x v="3"/>
    <x v="1"/>
    <x v="1"/>
    <x v="0"/>
    <s v="Abril"/>
  </r>
  <r>
    <x v="3"/>
    <x v="4"/>
    <x v="12"/>
    <x v="39"/>
    <x v="3"/>
    <x v="7"/>
    <x v="6"/>
    <x v="1"/>
    <s v="Mayo"/>
  </r>
  <r>
    <x v="3"/>
    <x v="4"/>
    <x v="12"/>
    <x v="40"/>
    <x v="3"/>
    <x v="7"/>
    <x v="6"/>
    <x v="1"/>
    <s v="Mayo"/>
  </r>
  <r>
    <x v="3"/>
    <x v="4"/>
    <x v="13"/>
    <x v="41"/>
    <x v="0"/>
    <x v="2"/>
    <x v="2"/>
    <x v="0"/>
    <s v="Abril"/>
  </r>
  <r>
    <x v="3"/>
    <x v="4"/>
    <x v="13"/>
    <x v="42"/>
    <x v="0"/>
    <x v="2"/>
    <x v="2"/>
    <x v="0"/>
    <s v="Mayo"/>
  </r>
  <r>
    <x v="3"/>
    <x v="4"/>
    <x v="13"/>
    <x v="43"/>
    <x v="5"/>
    <x v="5"/>
    <x v="7"/>
    <x v="0"/>
    <s v="Junio"/>
  </r>
  <r>
    <x v="3"/>
    <x v="4"/>
    <x v="13"/>
    <x v="44"/>
    <x v="5"/>
    <x v="5"/>
    <x v="7"/>
    <x v="0"/>
    <s v="Junio"/>
  </r>
  <r>
    <x v="3"/>
    <x v="4"/>
    <x v="13"/>
    <x v="45"/>
    <x v="0"/>
    <x v="1"/>
    <x v="1"/>
    <x v="0"/>
    <s v="Junio"/>
  </r>
  <r>
    <x v="3"/>
    <x v="5"/>
    <x v="14"/>
    <x v="46"/>
    <x v="4"/>
    <x v="1"/>
    <x v="1"/>
    <x v="2"/>
    <m/>
  </r>
  <r>
    <x v="3"/>
    <x v="5"/>
    <x v="14"/>
    <x v="47"/>
    <x v="8"/>
    <x v="1"/>
    <x v="1"/>
    <x v="2"/>
    <s v="Junio"/>
  </r>
  <r>
    <x v="3"/>
    <x v="5"/>
    <x v="14"/>
    <x v="48"/>
    <x v="9"/>
    <x v="1"/>
    <x v="1"/>
    <x v="2"/>
    <s v="Junio"/>
  </r>
  <r>
    <x v="3"/>
    <x v="5"/>
    <x v="14"/>
    <x v="49"/>
    <x v="11"/>
    <x v="8"/>
    <x v="1"/>
    <x v="2"/>
    <s v="Mayo"/>
  </r>
  <r>
    <x v="3"/>
    <x v="5"/>
    <x v="15"/>
    <x v="50"/>
    <x v="3"/>
    <x v="1"/>
    <x v="1"/>
    <x v="2"/>
    <s v="Junio"/>
  </r>
  <r>
    <x v="3"/>
    <x v="5"/>
    <x v="15"/>
    <x v="51"/>
    <x v="4"/>
    <x v="1"/>
    <x v="1"/>
    <x v="2"/>
    <s v="Junio"/>
  </r>
  <r>
    <x v="4"/>
    <x v="6"/>
    <x v="16"/>
    <x v="19"/>
    <x v="5"/>
    <x v="5"/>
    <x v="8"/>
    <x v="0"/>
    <s v="Mayo"/>
  </r>
  <r>
    <x v="4"/>
    <x v="6"/>
    <x v="16"/>
    <x v="20"/>
    <x v="5"/>
    <x v="5"/>
    <x v="8"/>
    <x v="0"/>
    <s v="Mayo"/>
  </r>
  <r>
    <x v="4"/>
    <x v="6"/>
    <x v="16"/>
    <x v="52"/>
    <x v="12"/>
    <x v="1"/>
    <x v="1"/>
    <x v="0"/>
    <s v="Junio"/>
  </r>
  <r>
    <x v="5"/>
    <x v="7"/>
    <x v="17"/>
    <x v="37"/>
    <x v="12"/>
    <x v="9"/>
    <x v="1"/>
    <x v="0"/>
    <s v="Abril"/>
  </r>
  <r>
    <x v="5"/>
    <x v="7"/>
    <x v="17"/>
    <x v="40"/>
    <x v="12"/>
    <x v="9"/>
    <x v="1"/>
    <x v="0"/>
    <s v="Mayo"/>
  </r>
  <r>
    <x v="5"/>
    <x v="7"/>
    <x v="17"/>
    <x v="53"/>
    <x v="3"/>
    <x v="1"/>
    <x v="1"/>
    <x v="1"/>
    <s v="Mayo"/>
  </r>
  <r>
    <x v="5"/>
    <x v="7"/>
    <x v="18"/>
    <x v="54"/>
    <x v="3"/>
    <x v="3"/>
    <x v="1"/>
    <x v="1"/>
    <s v="Junio"/>
  </r>
  <r>
    <x v="5"/>
    <x v="7"/>
    <x v="10"/>
    <x v="31"/>
    <x v="12"/>
    <x v="10"/>
    <x v="9"/>
    <x v="0"/>
    <s v="Junio"/>
  </r>
  <r>
    <x v="5"/>
    <x v="7"/>
    <x v="10"/>
    <x v="55"/>
    <x v="5"/>
    <x v="5"/>
    <x v="1"/>
    <x v="0"/>
    <s v="Junio"/>
  </r>
  <r>
    <x v="6"/>
    <x v="8"/>
    <x v="19"/>
    <x v="56"/>
    <x v="12"/>
    <x v="10"/>
    <x v="9"/>
    <x v="0"/>
    <s v="Mayo"/>
  </r>
  <r>
    <x v="6"/>
    <x v="8"/>
    <x v="20"/>
    <x v="57"/>
    <x v="12"/>
    <x v="1"/>
    <x v="1"/>
    <x v="0"/>
    <s v="Junio"/>
  </r>
  <r>
    <x v="6"/>
    <x v="8"/>
    <x v="20"/>
    <x v="58"/>
    <x v="12"/>
    <x v="10"/>
    <x v="1"/>
    <x v="0"/>
    <s v="Junio"/>
  </r>
  <r>
    <x v="7"/>
    <x v="9"/>
    <x v="21"/>
    <x v="59"/>
    <x v="10"/>
    <x v="10"/>
    <x v="1"/>
    <x v="1"/>
    <s v="Abril"/>
  </r>
  <r>
    <x v="7"/>
    <x v="9"/>
    <x v="21"/>
    <x v="60"/>
    <x v="5"/>
    <x v="5"/>
    <x v="1"/>
    <x v="1"/>
    <s v="Junio"/>
  </r>
  <r>
    <x v="7"/>
    <x v="9"/>
    <x v="21"/>
    <x v="20"/>
    <x v="5"/>
    <x v="5"/>
    <x v="1"/>
    <x v="1"/>
    <s v="Junio"/>
  </r>
  <r>
    <x v="8"/>
    <x v="10"/>
    <x v="22"/>
    <x v="61"/>
    <x v="13"/>
    <x v="1"/>
    <x v="1"/>
    <x v="0"/>
    <s v="Mensual"/>
  </r>
  <r>
    <x v="8"/>
    <x v="10"/>
    <x v="22"/>
    <x v="62"/>
    <x v="13"/>
    <x v="1"/>
    <x v="1"/>
    <x v="0"/>
    <s v="Mensual"/>
  </r>
  <r>
    <x v="8"/>
    <x v="10"/>
    <x v="22"/>
    <x v="63"/>
    <x v="13"/>
    <x v="1"/>
    <x v="1"/>
    <x v="0"/>
    <s v="Mensual"/>
  </r>
  <r>
    <x v="8"/>
    <x v="10"/>
    <x v="22"/>
    <x v="64"/>
    <x v="13"/>
    <x v="1"/>
    <x v="1"/>
    <x v="0"/>
    <s v="Mensual"/>
  </r>
  <r>
    <x v="8"/>
    <x v="10"/>
    <x v="22"/>
    <x v="65"/>
    <x v="13"/>
    <x v="1"/>
    <x v="1"/>
    <x v="0"/>
    <s v="Mensual"/>
  </r>
  <r>
    <x v="8"/>
    <x v="10"/>
    <x v="23"/>
    <x v="66"/>
    <x v="14"/>
    <x v="1"/>
    <x v="1"/>
    <x v="2"/>
    <s v="Mensual"/>
  </r>
  <r>
    <x v="8"/>
    <x v="10"/>
    <x v="23"/>
    <x v="67"/>
    <x v="14"/>
    <x v="1"/>
    <x v="1"/>
    <x v="2"/>
    <s v="Mensual"/>
  </r>
  <r>
    <x v="8"/>
    <x v="10"/>
    <x v="23"/>
    <x v="68"/>
    <x v="14"/>
    <x v="11"/>
    <x v="1"/>
    <x v="2"/>
    <s v="Mensual"/>
  </r>
  <r>
    <x v="8"/>
    <x v="10"/>
    <x v="23"/>
    <x v="69"/>
    <x v="14"/>
    <x v="1"/>
    <x v="1"/>
    <x v="2"/>
    <s v="Mensual"/>
  </r>
  <r>
    <x v="8"/>
    <x v="10"/>
    <x v="23"/>
    <x v="70"/>
    <x v="14"/>
    <x v="1"/>
    <x v="1"/>
    <x v="2"/>
    <s v="Mensual"/>
  </r>
  <r>
    <x v="8"/>
    <x v="10"/>
    <x v="23"/>
    <x v="71"/>
    <x v="14"/>
    <x v="1"/>
    <x v="1"/>
    <x v="2"/>
    <s v="Mensual"/>
  </r>
  <r>
    <x v="8"/>
    <x v="10"/>
    <x v="23"/>
    <x v="72"/>
    <x v="14"/>
    <x v="1"/>
    <x v="1"/>
    <x v="2"/>
    <s v="Mensual"/>
  </r>
  <r>
    <x v="8"/>
    <x v="10"/>
    <x v="24"/>
    <x v="73"/>
    <x v="15"/>
    <x v="1"/>
    <x v="1"/>
    <x v="2"/>
    <s v="Mensual"/>
  </r>
  <r>
    <x v="8"/>
    <x v="10"/>
    <x v="24"/>
    <x v="74"/>
    <x v="15"/>
    <x v="1"/>
    <x v="1"/>
    <x v="2"/>
    <s v="Mensual"/>
  </r>
  <r>
    <x v="8"/>
    <x v="10"/>
    <x v="24"/>
    <x v="75"/>
    <x v="15"/>
    <x v="1"/>
    <x v="1"/>
    <x v="2"/>
    <s v="Mensual"/>
  </r>
  <r>
    <x v="8"/>
    <x v="10"/>
    <x v="25"/>
    <x v="76"/>
    <x v="16"/>
    <x v="12"/>
    <x v="1"/>
    <x v="2"/>
    <s v="Mensual"/>
  </r>
  <r>
    <x v="8"/>
    <x v="10"/>
    <x v="25"/>
    <x v="77"/>
    <x v="16"/>
    <x v="1"/>
    <x v="1"/>
    <x v="2"/>
    <s v="Mensual"/>
  </r>
  <r>
    <x v="8"/>
    <x v="10"/>
    <x v="25"/>
    <x v="78"/>
    <x v="16"/>
    <x v="1"/>
    <x v="1"/>
    <x v="2"/>
    <s v="Mensual"/>
  </r>
  <r>
    <x v="8"/>
    <x v="10"/>
    <x v="25"/>
    <x v="79"/>
    <x v="16"/>
    <x v="0"/>
    <x v="1"/>
    <x v="2"/>
    <s v="Mensual"/>
  </r>
  <r>
    <x v="8"/>
    <x v="11"/>
    <x v="26"/>
    <x v="80"/>
    <x v="17"/>
    <x v="1"/>
    <x v="1"/>
    <x v="0"/>
    <s v="Mensual"/>
  </r>
  <r>
    <x v="8"/>
    <x v="11"/>
    <x v="26"/>
    <x v="81"/>
    <x v="17"/>
    <x v="1"/>
    <x v="1"/>
    <x v="0"/>
    <s v="Mensual"/>
  </r>
  <r>
    <x v="8"/>
    <x v="11"/>
    <x v="26"/>
    <x v="82"/>
    <x v="17"/>
    <x v="1"/>
    <x v="1"/>
    <x v="0"/>
    <s v="Mensual"/>
  </r>
  <r>
    <x v="8"/>
    <x v="11"/>
    <x v="26"/>
    <x v="83"/>
    <x v="17"/>
    <x v="1"/>
    <x v="1"/>
    <x v="0"/>
    <s v="Mensual"/>
  </r>
  <r>
    <x v="8"/>
    <x v="11"/>
    <x v="26"/>
    <x v="84"/>
    <x v="17"/>
    <x v="1"/>
    <x v="1"/>
    <x v="0"/>
    <s v="Mensual"/>
  </r>
  <r>
    <x v="8"/>
    <x v="11"/>
    <x v="26"/>
    <x v="85"/>
    <x v="17"/>
    <x v="1"/>
    <x v="1"/>
    <x v="0"/>
    <s v="Mensu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1000000}" name="KPIs Q2 por persona" cacheId="11" applyNumberFormats="0" applyBorderFormats="0" applyFontFormats="0" applyPatternFormats="0" applyAlignmentFormats="0" applyWidthHeightFormats="0" dataCaption="" updatedVersion="8" compact="0" compactData="0">
  <location ref="A1:C116" firstHeaderRow="1" firstDataRow="1" firstDataCol="3"/>
  <pivotFields count="9">
    <pivotField name="Proyecto" axis="axisRow" compact="0" outline="0" multipleItemSelectionAllowed="1" showAll="0" sortType="ascending" defaultSubtotal="0">
      <items count="9">
        <item x="8"/>
        <item x="5"/>
        <item x="0"/>
        <item x="4"/>
        <item x="1"/>
        <item x="7"/>
        <item x="2"/>
        <item x="6"/>
        <item x="3"/>
      </items>
    </pivotField>
    <pivotField name="Objetivo Empresa" compact="0" outline="0" multipleItemSelectionAllowed="1" showAll="0"/>
    <pivotField name="Objetivo Lider" compact="0" outline="0" multipleItemSelectionAllowed="1" showAll="0"/>
    <pivotField name="KPI " axis="axisRow" compact="0" outline="0" multipleItemSelectionAllowed="1" showAll="0" sortType="ascending" defaultSubtotal="0">
      <items count="86">
        <item x="26"/>
        <item x="34"/>
        <item x="46"/>
        <item x="18"/>
        <item x="67"/>
        <item x="69"/>
        <item x="35"/>
        <item x="36"/>
        <item x="27"/>
        <item x="28"/>
        <item x="47"/>
        <item x="48"/>
        <item x="52"/>
        <item x="43"/>
        <item x="72"/>
        <item x="56"/>
        <item x="9"/>
        <item x="57"/>
        <item x="14"/>
        <item x="54"/>
        <item x="51"/>
        <item x="71"/>
        <item x="2"/>
        <item x="68"/>
        <item x="70"/>
        <item x="63"/>
        <item x="6"/>
        <item x="75"/>
        <item x="74"/>
        <item x="38"/>
        <item x="76"/>
        <item x="37"/>
        <item x="59"/>
        <item x="62"/>
        <item x="84"/>
        <item x="0"/>
        <item x="1"/>
        <item x="4"/>
        <item x="81"/>
        <item x="83"/>
        <item x="82"/>
        <item x="80"/>
        <item x="78"/>
        <item x="3"/>
        <item x="77"/>
        <item x="7"/>
        <item x="8"/>
        <item x="49"/>
        <item x="61"/>
        <item x="50"/>
        <item x="33"/>
        <item x="40"/>
        <item x="73"/>
        <item x="39"/>
        <item x="22"/>
        <item x="25"/>
        <item x="45"/>
        <item x="58"/>
        <item x="12"/>
        <item x="10"/>
        <item x="11"/>
        <item x="23"/>
        <item x="30"/>
        <item x="21"/>
        <item x="5"/>
        <item x="64"/>
        <item x="65"/>
        <item x="19"/>
        <item x="32"/>
        <item x="55"/>
        <item x="16"/>
        <item x="20"/>
        <item x="44"/>
        <item x="29"/>
        <item x="15"/>
        <item x="31"/>
        <item x="41"/>
        <item x="42"/>
        <item x="60"/>
        <item x="66"/>
        <item x="13"/>
        <item x="85"/>
        <item x="17"/>
        <item x="24"/>
        <item x="53"/>
        <item x="79"/>
      </items>
    </pivotField>
    <pivotField name="Responsable 1" axis="axisRow" compact="0" outline="0" multipleItemSelectionAllowed="1" showAll="0" sortType="ascending" defaultSubtotal="0">
      <items count="18">
        <item x="14"/>
        <item x="16"/>
        <item x="8"/>
        <item x="13"/>
        <item x="0"/>
        <item x="11"/>
        <item x="9"/>
        <item x="5"/>
        <item x="3"/>
        <item x="12"/>
        <item x="15"/>
        <item x="6"/>
        <item x="2"/>
        <item x="17"/>
        <item x="1"/>
        <item x="4"/>
        <item x="7"/>
        <item x="10"/>
      </items>
    </pivotField>
    <pivotField name="Responsable 2" compact="0" outline="0" multipleItemSelectionAllowed="1" showAll="0" sortType="ascending" defaultSubtotal="0">
      <items count="13">
        <item x="12"/>
        <item x="11"/>
        <item x="7"/>
        <item x="6"/>
        <item x="8"/>
        <item x="2"/>
        <item x="4"/>
        <item x="5"/>
        <item x="0"/>
        <item x="3"/>
        <item x="9"/>
        <item x="10"/>
        <item x="1"/>
      </items>
    </pivotField>
    <pivotField name="Responsable 3" compact="0" outline="0" multipleItemSelectionAllowed="1" showAll="0" sortType="ascending">
      <items count="11">
        <item x="0"/>
        <item x="7"/>
        <item x="4"/>
        <item x="6"/>
        <item x="5"/>
        <item x="2"/>
        <item x="3"/>
        <item x="8"/>
        <item x="9"/>
        <item x="1"/>
        <item t="default"/>
      </items>
    </pivotField>
    <pivotField name="Lider" compact="0" outline="0" multipleItemSelectionAllowed="1" showAll="0"/>
    <pivotField name="Fecha" compact="0" outline="0" multipleItemSelectionAllowed="1" showAll="0"/>
  </pivotFields>
  <rowFields count="3">
    <field x="4"/>
    <field x="0"/>
    <field x="3"/>
  </rowFields>
  <rowItems count="115">
    <i>
      <x/>
      <x/>
      <x v="4"/>
    </i>
    <i r="2">
      <x v="5"/>
    </i>
    <i r="2">
      <x v="14"/>
    </i>
    <i r="2">
      <x v="21"/>
    </i>
    <i r="2">
      <x v="23"/>
    </i>
    <i r="2">
      <x v="24"/>
    </i>
    <i r="2">
      <x v="79"/>
    </i>
    <i>
      <x v="1"/>
      <x/>
      <x v="30"/>
    </i>
    <i r="2">
      <x v="42"/>
    </i>
    <i r="2">
      <x v="44"/>
    </i>
    <i r="2">
      <x v="85"/>
    </i>
    <i>
      <x v="2"/>
      <x v="4"/>
      <x v="8"/>
    </i>
    <i r="1">
      <x v="6"/>
      <x v="6"/>
    </i>
    <i r="1">
      <x v="8"/>
      <x v="10"/>
    </i>
    <i>
      <x v="3"/>
      <x/>
      <x v="25"/>
    </i>
    <i r="2">
      <x v="33"/>
    </i>
    <i r="2">
      <x v="48"/>
    </i>
    <i r="2">
      <x v="65"/>
    </i>
    <i r="2">
      <x v="66"/>
    </i>
    <i>
      <x v="4"/>
      <x v="2"/>
      <x v="22"/>
    </i>
    <i r="2">
      <x v="26"/>
    </i>
    <i r="2">
      <x v="35"/>
    </i>
    <i r="2">
      <x v="36"/>
    </i>
    <i r="2">
      <x v="37"/>
    </i>
    <i r="2">
      <x v="43"/>
    </i>
    <i r="2">
      <x v="45"/>
    </i>
    <i r="2">
      <x v="46"/>
    </i>
    <i r="2">
      <x v="64"/>
    </i>
    <i r="2">
      <x v="80"/>
    </i>
    <i r="1">
      <x v="8"/>
      <x v="56"/>
    </i>
    <i r="2">
      <x v="76"/>
    </i>
    <i r="2">
      <x v="77"/>
    </i>
    <i>
      <x v="5"/>
      <x v="8"/>
      <x v="47"/>
    </i>
    <i>
      <x v="6"/>
      <x v="4"/>
      <x v="9"/>
    </i>
    <i r="1">
      <x v="6"/>
      <x v="7"/>
    </i>
    <i r="1">
      <x v="8"/>
      <x v="11"/>
    </i>
    <i>
      <x v="7"/>
      <x v="1"/>
      <x v="69"/>
    </i>
    <i r="1">
      <x v="3"/>
      <x v="67"/>
    </i>
    <i r="2">
      <x v="71"/>
    </i>
    <i r="1">
      <x v="4"/>
      <x v="67"/>
    </i>
    <i r="2">
      <x v="71"/>
    </i>
    <i r="1">
      <x v="5"/>
      <x v="71"/>
    </i>
    <i r="2">
      <x v="78"/>
    </i>
    <i r="1">
      <x v="6"/>
      <x v="68"/>
    </i>
    <i r="1">
      <x v="8"/>
      <x v="13"/>
    </i>
    <i r="2">
      <x v="72"/>
    </i>
    <i>
      <x v="8"/>
      <x v="1"/>
      <x v="19"/>
    </i>
    <i r="2">
      <x v="84"/>
    </i>
    <i r="1">
      <x v="2"/>
      <x v="18"/>
    </i>
    <i r="2">
      <x v="70"/>
    </i>
    <i r="2">
      <x v="74"/>
    </i>
    <i r="2">
      <x v="82"/>
    </i>
    <i r="1">
      <x v="4"/>
      <x v="54"/>
    </i>
    <i r="2">
      <x v="61"/>
    </i>
    <i r="2">
      <x v="63"/>
    </i>
    <i r="2">
      <x v="83"/>
    </i>
    <i r="1">
      <x v="6"/>
      <x v="62"/>
    </i>
    <i r="2">
      <x v="73"/>
    </i>
    <i r="1">
      <x v="8"/>
      <x v="29"/>
    </i>
    <i r="2">
      <x v="31"/>
    </i>
    <i r="2">
      <x v="49"/>
    </i>
    <i r="2">
      <x v="51"/>
    </i>
    <i r="2">
      <x v="53"/>
    </i>
    <i>
      <x v="9"/>
      <x v="1"/>
      <x v="31"/>
    </i>
    <i r="2">
      <x v="51"/>
    </i>
    <i r="2">
      <x v="75"/>
    </i>
    <i r="1">
      <x v="3"/>
      <x v="12"/>
    </i>
    <i r="1">
      <x v="7"/>
      <x v="15"/>
    </i>
    <i r="2">
      <x v="17"/>
    </i>
    <i r="2">
      <x v="57"/>
    </i>
    <i>
      <x v="10"/>
      <x/>
      <x v="27"/>
    </i>
    <i r="2">
      <x v="28"/>
    </i>
    <i r="2">
      <x v="52"/>
    </i>
    <i>
      <x v="11"/>
      <x v="4"/>
      <x v="22"/>
    </i>
    <i r="2">
      <x v="26"/>
    </i>
    <i r="2">
      <x v="35"/>
    </i>
    <i r="2">
      <x v="36"/>
    </i>
    <i r="2">
      <x v="37"/>
    </i>
    <i r="2">
      <x v="43"/>
    </i>
    <i r="2">
      <x v="45"/>
    </i>
    <i r="2">
      <x v="46"/>
    </i>
    <i r="2">
      <x v="55"/>
    </i>
    <i r="2">
      <x v="64"/>
    </i>
    <i r="1">
      <x v="6"/>
      <x v="50"/>
    </i>
    <i>
      <x v="12"/>
      <x v="2"/>
      <x v="16"/>
    </i>
    <i r="2">
      <x v="58"/>
    </i>
    <i r="2">
      <x v="59"/>
    </i>
    <i r="2">
      <x v="60"/>
    </i>
    <i>
      <x v="13"/>
      <x/>
      <x v="34"/>
    </i>
    <i r="2">
      <x v="38"/>
    </i>
    <i r="2">
      <x v="39"/>
    </i>
    <i r="2">
      <x v="40"/>
    </i>
    <i r="2">
      <x v="41"/>
    </i>
    <i r="2">
      <x v="81"/>
    </i>
    <i>
      <x v="14"/>
      <x v="2"/>
      <x v="22"/>
    </i>
    <i r="2">
      <x v="26"/>
    </i>
    <i r="2">
      <x v="35"/>
    </i>
    <i r="2">
      <x v="36"/>
    </i>
    <i r="2">
      <x v="37"/>
    </i>
    <i r="2">
      <x v="43"/>
    </i>
    <i r="2">
      <x v="45"/>
    </i>
    <i r="2">
      <x v="46"/>
    </i>
    <i r="2">
      <x v="64"/>
    </i>
    <i>
      <x v="15"/>
      <x v="2"/>
      <x v="3"/>
    </i>
    <i r="1">
      <x v="4"/>
      <x/>
    </i>
    <i r="1">
      <x v="6"/>
      <x v="1"/>
    </i>
    <i r="1">
      <x v="8"/>
      <x v="2"/>
    </i>
    <i r="2">
      <x v="20"/>
    </i>
    <i>
      <x v="16"/>
      <x v="4"/>
      <x v="16"/>
    </i>
    <i r="2">
      <x v="58"/>
    </i>
    <i r="2">
      <x v="59"/>
    </i>
    <i r="2">
      <x v="60"/>
    </i>
    <i>
      <x v="17"/>
      <x v="5"/>
      <x v="32"/>
    </i>
    <i r="1">
      <x v="6"/>
      <x v="75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KPIs Q2 por persona 2" cacheId="11" applyNumberFormats="0" applyBorderFormats="0" applyFontFormats="0" applyPatternFormats="0" applyAlignmentFormats="0" applyWidthHeightFormats="0" dataCaption="" updatedVersion="8" rowGrandTotals="0" compact="0" compactData="0">
  <location ref="G1:J35" firstHeaderRow="1" firstDataRow="1" firstDataCol="4"/>
  <pivotFields count="9">
    <pivotField name="Proyecto" axis="axisRow" compact="0" outline="0" multipleItemSelectionAllowed="1" showAll="0" sortType="ascending" defaultSubtotal="0">
      <items count="9">
        <item x="8"/>
        <item x="5"/>
        <item x="0"/>
        <item x="4"/>
        <item x="1"/>
        <item x="7"/>
        <item x="2"/>
        <item x="6"/>
        <item x="3"/>
      </items>
    </pivotField>
    <pivotField name="Objetivo Empresa" axis="axisRow" compact="0" outline="0" multipleItemSelectionAllowed="1" showAll="0" sortType="ascending" defaultSubtotal="0">
      <items count="12">
        <item x="2"/>
        <item x="10"/>
        <item x="5"/>
        <item x="0"/>
        <item x="8"/>
        <item x="4"/>
        <item x="7"/>
        <item x="1"/>
        <item x="3"/>
        <item x="9"/>
        <item x="6"/>
        <item x="11"/>
      </items>
    </pivotField>
    <pivotField name="Objetivo Lider" axis="axisRow" compact="0" outline="0" multipleItemSelectionAllowed="1" showAll="0" sortType="ascending">
      <items count="28">
        <item x="8"/>
        <item x="11"/>
        <item x="14"/>
        <item x="4"/>
        <item x="12"/>
        <item x="15"/>
        <item x="18"/>
        <item x="2"/>
        <item x="24"/>
        <item x="20"/>
        <item x="7"/>
        <item x="17"/>
        <item x="1"/>
        <item x="19"/>
        <item x="22"/>
        <item x="21"/>
        <item x="13"/>
        <item x="6"/>
        <item x="0"/>
        <item x="16"/>
        <item x="5"/>
        <item x="10"/>
        <item x="23"/>
        <item x="26"/>
        <item x="9"/>
        <item x="3"/>
        <item x="25"/>
        <item t="default"/>
      </items>
    </pivotField>
    <pivotField name="KPI " compact="0" outline="0" multipleItemSelectionAllowed="1" showAll="0"/>
    <pivotField name="Responsable 1" compact="0" outline="0" multipleItemSelectionAllowed="1" showAll="0"/>
    <pivotField name="Responsable 2" compact="0" outline="0" multipleItemSelectionAllowed="1" showAll="0"/>
    <pivotField name="Responsable 3" compact="0" outline="0" multipleItemSelectionAllowed="1" showAll="0"/>
    <pivotField name="Lider" axis="axisRow" compact="0" outline="0" multipleItemSelectionAllowed="1" showAll="0" sortType="ascending">
      <items count="4">
        <item x="0"/>
        <item x="2"/>
        <item x="1"/>
        <item t="default"/>
      </items>
    </pivotField>
    <pivotField name="Fecha" compact="0" outline="0" multipleItemSelectionAllowed="1" showAll="0"/>
  </pivotFields>
  <rowFields count="4">
    <field x="7"/>
    <field x="0"/>
    <field x="1"/>
    <field x="2"/>
  </rowFields>
  <rowItems count="34">
    <i>
      <x/>
      <x/>
      <x v="1"/>
      <x v="14"/>
    </i>
    <i r="2">
      <x v="11"/>
      <x v="23"/>
    </i>
    <i r="1">
      <x v="1"/>
      <x v="6"/>
      <x v="11"/>
    </i>
    <i r="3">
      <x v="21"/>
    </i>
    <i r="1">
      <x v="2"/>
      <x v="3"/>
      <x v="7"/>
    </i>
    <i r="3">
      <x v="12"/>
    </i>
    <i r="3">
      <x v="18"/>
    </i>
    <i r="1">
      <x v="3"/>
      <x v="10"/>
      <x v="19"/>
    </i>
    <i r="1">
      <x v="7"/>
      <x v="4"/>
      <x v="9"/>
    </i>
    <i r="3">
      <x v="13"/>
    </i>
    <i r="1">
      <x v="8"/>
      <x v="5"/>
      <x v="4"/>
    </i>
    <i r="3">
      <x v="16"/>
    </i>
    <i t="default">
      <x/>
    </i>
    <i>
      <x v="1"/>
      <x/>
      <x v="1"/>
      <x v="8"/>
    </i>
    <i r="3">
      <x v="22"/>
    </i>
    <i r="3">
      <x v="26"/>
    </i>
    <i r="1">
      <x v="2"/>
      <x v="3"/>
      <x v="3"/>
    </i>
    <i r="1">
      <x v="4"/>
      <x/>
      <x/>
    </i>
    <i r="1">
      <x v="6"/>
      <x v="8"/>
      <x v="1"/>
    </i>
    <i r="1">
      <x v="8"/>
      <x v="2"/>
      <x v="2"/>
    </i>
    <i r="3">
      <x v="5"/>
    </i>
    <i t="default">
      <x v="1"/>
    </i>
    <i>
      <x v="2"/>
      <x v="1"/>
      <x v="6"/>
      <x v="6"/>
    </i>
    <i r="3">
      <x v="11"/>
    </i>
    <i r="1">
      <x v="2"/>
      <x v="3"/>
      <x v="25"/>
    </i>
    <i r="1">
      <x v="4"/>
      <x v="7"/>
      <x v="10"/>
    </i>
    <i r="3">
      <x v="12"/>
    </i>
    <i r="3">
      <x v="17"/>
    </i>
    <i r="3">
      <x v="20"/>
    </i>
    <i r="1">
      <x v="5"/>
      <x v="9"/>
      <x v="15"/>
    </i>
    <i r="1">
      <x v="6"/>
      <x v="8"/>
      <x v="21"/>
    </i>
    <i r="3">
      <x v="24"/>
    </i>
    <i r="1">
      <x v="8"/>
      <x v="5"/>
      <x v="4"/>
    </i>
    <i t="default">
      <x v="2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2000000}" name="KPIs Q2 por equipo" cacheId="11" applyNumberFormats="0" applyBorderFormats="0" applyFontFormats="0" applyPatternFormats="0" applyAlignmentFormats="0" applyWidthHeightFormats="0" dataCaption="" updatedVersion="8" compact="0" compactData="0">
  <location ref="A1:E50" firstHeaderRow="1" firstDataRow="1" firstDataCol="5"/>
  <pivotFields count="9">
    <pivotField name="Proyecto" axis="axisRow" compact="0" outline="0" multipleItemSelectionAllowed="1" showAll="0" sortType="ascending" defaultSubtotal="0">
      <items count="9">
        <item x="8"/>
        <item x="5"/>
        <item x="0"/>
        <item x="4"/>
        <item x="1"/>
        <item x="7"/>
        <item x="2"/>
        <item x="6"/>
        <item x="3"/>
      </items>
    </pivotField>
    <pivotField name="Objetivo Empresa" compact="0" outline="0" multipleItemSelectionAllowed="1" showAll="0"/>
    <pivotField name="Objetivo Lider" compact="0" outline="0" multipleItemSelectionAllowed="1" showAll="0"/>
    <pivotField name="KPI " axis="axisRow" compact="0" outline="0" multipleItemSelectionAllowed="1" showAll="0" sortType="ascending" defaultSubtotal="0">
      <items count="86">
        <item x="26"/>
        <item x="34"/>
        <item x="46"/>
        <item x="18"/>
        <item x="67"/>
        <item x="69"/>
        <item x="35"/>
        <item x="36"/>
        <item x="27"/>
        <item x="28"/>
        <item x="47"/>
        <item x="48"/>
        <item x="52"/>
        <item x="43"/>
        <item x="72"/>
        <item x="56"/>
        <item x="9"/>
        <item x="57"/>
        <item x="14"/>
        <item x="54"/>
        <item x="51"/>
        <item x="71"/>
        <item x="2"/>
        <item x="68"/>
        <item x="70"/>
        <item x="63"/>
        <item x="6"/>
        <item x="75"/>
        <item x="74"/>
        <item x="38"/>
        <item x="76"/>
        <item x="37"/>
        <item x="59"/>
        <item x="62"/>
        <item x="84"/>
        <item x="0"/>
        <item x="1"/>
        <item x="4"/>
        <item x="81"/>
        <item x="83"/>
        <item x="82"/>
        <item x="80"/>
        <item x="78"/>
        <item x="3"/>
        <item x="77"/>
        <item x="7"/>
        <item x="8"/>
        <item x="49"/>
        <item x="61"/>
        <item x="50"/>
        <item x="33"/>
        <item x="40"/>
        <item x="73"/>
        <item x="39"/>
        <item x="22"/>
        <item x="25"/>
        <item x="45"/>
        <item x="58"/>
        <item x="12"/>
        <item x="10"/>
        <item x="11"/>
        <item x="23"/>
        <item x="30"/>
        <item x="21"/>
        <item x="5"/>
        <item x="64"/>
        <item x="65"/>
        <item x="19"/>
        <item x="32"/>
        <item x="55"/>
        <item x="16"/>
        <item x="20"/>
        <item x="44"/>
        <item x="29"/>
        <item x="15"/>
        <item x="31"/>
        <item x="41"/>
        <item x="42"/>
        <item x="60"/>
        <item x="66"/>
        <item x="13"/>
        <item x="85"/>
        <item x="17"/>
        <item x="24"/>
        <item x="53"/>
        <item x="79"/>
      </items>
    </pivotField>
    <pivotField name="Responsable 1" axis="axisRow" compact="0" outline="0" multipleItemSelectionAllowed="1" showAll="0" sortType="ascending" defaultSubtotal="0">
      <items count="18">
        <item x="14"/>
        <item x="16"/>
        <item x="8"/>
        <item x="13"/>
        <item x="0"/>
        <item x="11"/>
        <item x="9"/>
        <item x="5"/>
        <item x="3"/>
        <item x="12"/>
        <item x="15"/>
        <item x="6"/>
        <item x="2"/>
        <item x="17"/>
        <item x="1"/>
        <item x="4"/>
        <item x="7"/>
        <item x="10"/>
      </items>
    </pivotField>
    <pivotField name="Responsable 2" axis="axisRow" compact="0" outline="0" multipleItemSelectionAllowed="1" showAll="0" sortType="ascending" defaultSubtotal="0">
      <items count="13">
        <item x="12"/>
        <item x="11"/>
        <item x="7"/>
        <item x="6"/>
        <item x="8"/>
        <item x="2"/>
        <item x="4"/>
        <item x="5"/>
        <item x="0"/>
        <item x="3"/>
        <item x="9"/>
        <item x="10"/>
        <item h="1" x="1"/>
      </items>
    </pivotField>
    <pivotField name="Responsable 3" axis="axisRow" compact="0" outline="0" multipleItemSelectionAllowed="1" showAll="0" sortType="ascending">
      <items count="11">
        <item x="0"/>
        <item x="7"/>
        <item x="4"/>
        <item x="6"/>
        <item x="5"/>
        <item x="2"/>
        <item x="3"/>
        <item x="8"/>
        <item x="9"/>
        <item x="1"/>
        <item t="default"/>
      </items>
    </pivotField>
    <pivotField name="Lider" compact="0" outline="0" multipleItemSelectionAllowed="1" showAll="0"/>
    <pivotField name="Fecha" compact="0" outline="0" multipleItemSelectionAllowed="1" showAll="0"/>
  </pivotFields>
  <rowFields count="5">
    <field x="4"/>
    <field x="0"/>
    <field x="3"/>
    <field x="5"/>
    <field x="6"/>
  </rowFields>
  <rowItems count="49">
    <i>
      <x/>
      <x/>
      <x v="23"/>
      <x v="1"/>
      <x v="9"/>
    </i>
    <i>
      <x v="1"/>
      <x/>
      <x v="30"/>
      <x/>
      <x v="9"/>
    </i>
    <i r="2">
      <x v="85"/>
      <x v="8"/>
      <x v="9"/>
    </i>
    <i>
      <x v="4"/>
      <x v="2"/>
      <x v="35"/>
      <x v="8"/>
      <x/>
    </i>
    <i r="2">
      <x v="36"/>
      <x v="8"/>
      <x/>
    </i>
    <i r="2">
      <x v="45"/>
      <x v="5"/>
      <x v="5"/>
    </i>
    <i r="2">
      <x v="46"/>
      <x v="5"/>
      <x v="5"/>
    </i>
    <i r="2">
      <x v="80"/>
      <x v="9"/>
      <x v="6"/>
    </i>
    <i r="1">
      <x v="8"/>
      <x v="76"/>
      <x v="5"/>
      <x v="5"/>
    </i>
    <i r="2">
      <x v="77"/>
      <x v="5"/>
      <x v="5"/>
    </i>
    <i>
      <x v="5"/>
      <x v="8"/>
      <x v="47"/>
      <x v="4"/>
      <x v="9"/>
    </i>
    <i>
      <x v="6"/>
      <x v="4"/>
      <x v="9"/>
      <x v="3"/>
      <x v="9"/>
    </i>
    <i>
      <x v="7"/>
      <x v="1"/>
      <x v="69"/>
      <x v="7"/>
      <x v="9"/>
    </i>
    <i r="1">
      <x v="3"/>
      <x v="67"/>
      <x v="7"/>
      <x v="7"/>
    </i>
    <i r="2">
      <x v="71"/>
      <x v="7"/>
      <x v="7"/>
    </i>
    <i r="1">
      <x v="4"/>
      <x v="67"/>
      <x v="7"/>
      <x v="4"/>
    </i>
    <i r="2">
      <x v="71"/>
      <x v="7"/>
      <x v="4"/>
    </i>
    <i r="1">
      <x v="5"/>
      <x v="71"/>
      <x v="7"/>
      <x v="9"/>
    </i>
    <i r="2">
      <x v="78"/>
      <x v="7"/>
      <x v="9"/>
    </i>
    <i r="1">
      <x v="8"/>
      <x v="13"/>
      <x v="7"/>
      <x v="1"/>
    </i>
    <i r="2">
      <x v="72"/>
      <x v="7"/>
      <x v="1"/>
    </i>
    <i>
      <x v="8"/>
      <x v="1"/>
      <x v="19"/>
      <x v="9"/>
      <x v="9"/>
    </i>
    <i r="1">
      <x v="8"/>
      <x v="51"/>
      <x v="2"/>
      <x v="3"/>
    </i>
    <i r="2">
      <x v="53"/>
      <x v="2"/>
      <x v="3"/>
    </i>
    <i>
      <x v="9"/>
      <x v="1"/>
      <x v="31"/>
      <x v="10"/>
      <x v="9"/>
    </i>
    <i r="2">
      <x v="51"/>
      <x v="10"/>
      <x v="9"/>
    </i>
    <i r="2">
      <x v="75"/>
      <x v="11"/>
      <x v="8"/>
    </i>
    <i r="1">
      <x v="7"/>
      <x v="15"/>
      <x v="11"/>
      <x v="8"/>
    </i>
    <i r="2">
      <x v="57"/>
      <x v="11"/>
      <x v="9"/>
    </i>
    <i>
      <x v="11"/>
      <x v="4"/>
      <x v="35"/>
      <x v="8"/>
      <x/>
    </i>
    <i r="2">
      <x v="36"/>
      <x v="8"/>
      <x/>
    </i>
    <i r="2">
      <x v="37"/>
      <x v="8"/>
      <x v="9"/>
    </i>
    <i r="2">
      <x v="45"/>
      <x v="5"/>
      <x v="5"/>
    </i>
    <i r="2">
      <x v="46"/>
      <x v="5"/>
      <x v="5"/>
    </i>
    <i>
      <x v="12"/>
      <x v="2"/>
      <x v="16"/>
      <x v="8"/>
      <x v="9"/>
    </i>
    <i r="2">
      <x v="58"/>
      <x v="8"/>
      <x v="9"/>
    </i>
    <i r="2">
      <x v="59"/>
      <x v="8"/>
      <x v="9"/>
    </i>
    <i r="2">
      <x v="60"/>
      <x v="8"/>
      <x v="9"/>
    </i>
    <i>
      <x v="14"/>
      <x v="2"/>
      <x v="35"/>
      <x v="8"/>
      <x/>
    </i>
    <i r="2">
      <x v="36"/>
      <x v="8"/>
      <x/>
    </i>
    <i r="2">
      <x v="45"/>
      <x v="5"/>
      <x v="5"/>
    </i>
    <i r="2">
      <x v="46"/>
      <x v="5"/>
      <x v="5"/>
    </i>
    <i>
      <x v="15"/>
      <x v="2"/>
      <x v="3"/>
      <x v="6"/>
      <x v="2"/>
    </i>
    <i>
      <x v="16"/>
      <x v="4"/>
      <x v="16"/>
      <x v="8"/>
      <x v="9"/>
    </i>
    <i r="2">
      <x v="58"/>
      <x v="8"/>
      <x v="9"/>
    </i>
    <i r="2">
      <x v="59"/>
      <x v="8"/>
      <x v="9"/>
    </i>
    <i r="2">
      <x v="60"/>
      <x v="8"/>
      <x v="9"/>
    </i>
    <i>
      <x v="17"/>
      <x v="5"/>
      <x v="32"/>
      <x v="11"/>
      <x v="9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villa@devam.com.mx" TargetMode="External"/><Relationship Id="rId21" Type="http://schemas.openxmlformats.org/officeDocument/2006/relationships/hyperlink" Target="mailto:jrmoreno@devam.com.mx" TargetMode="External"/><Relationship Id="rId42" Type="http://schemas.openxmlformats.org/officeDocument/2006/relationships/hyperlink" Target="mailto:vvilla@devam.com.mx" TargetMode="External"/><Relationship Id="rId63" Type="http://schemas.openxmlformats.org/officeDocument/2006/relationships/hyperlink" Target="mailto:svilla@devam.com.mx" TargetMode="External"/><Relationship Id="rId84" Type="http://schemas.openxmlformats.org/officeDocument/2006/relationships/hyperlink" Target="mailto:jrmoreno@devam.com.mx" TargetMode="External"/><Relationship Id="rId16" Type="http://schemas.openxmlformats.org/officeDocument/2006/relationships/hyperlink" Target="mailto:jrmoreno@devam.com.mx" TargetMode="External"/><Relationship Id="rId107" Type="http://schemas.openxmlformats.org/officeDocument/2006/relationships/hyperlink" Target="mailto:vvilla@devam.com.mx" TargetMode="External"/><Relationship Id="rId11" Type="http://schemas.openxmlformats.org/officeDocument/2006/relationships/hyperlink" Target="mailto:jrmoreno@devam.com.mx" TargetMode="External"/><Relationship Id="rId32" Type="http://schemas.openxmlformats.org/officeDocument/2006/relationships/hyperlink" Target="mailto:vvilla@devam.com.mx" TargetMode="External"/><Relationship Id="rId37" Type="http://schemas.openxmlformats.org/officeDocument/2006/relationships/hyperlink" Target="mailto:vvilla@devam.com.mx" TargetMode="External"/><Relationship Id="rId53" Type="http://schemas.openxmlformats.org/officeDocument/2006/relationships/hyperlink" Target="mailto:svilla@devam.com.mx" TargetMode="External"/><Relationship Id="rId58" Type="http://schemas.openxmlformats.org/officeDocument/2006/relationships/hyperlink" Target="mailto:vvilla@devam.com.mx" TargetMode="External"/><Relationship Id="rId74" Type="http://schemas.openxmlformats.org/officeDocument/2006/relationships/hyperlink" Target="mailto:jrmoreno@devam.com.mx" TargetMode="External"/><Relationship Id="rId79" Type="http://schemas.openxmlformats.org/officeDocument/2006/relationships/hyperlink" Target="mailto:svilla@devam.com.mx" TargetMode="External"/><Relationship Id="rId102" Type="http://schemas.openxmlformats.org/officeDocument/2006/relationships/hyperlink" Target="mailto:jrmoreno@devam.com.mx" TargetMode="External"/><Relationship Id="rId123" Type="http://schemas.openxmlformats.org/officeDocument/2006/relationships/hyperlink" Target="mailto:svilla@devam.com.mx" TargetMode="External"/><Relationship Id="rId128" Type="http://schemas.openxmlformats.org/officeDocument/2006/relationships/hyperlink" Target="mailto:svilla@devam.com.mx" TargetMode="External"/><Relationship Id="rId5" Type="http://schemas.openxmlformats.org/officeDocument/2006/relationships/hyperlink" Target="mailto:jrmoreno@devam.com.mx" TargetMode="External"/><Relationship Id="rId90" Type="http://schemas.openxmlformats.org/officeDocument/2006/relationships/hyperlink" Target="mailto:jrmoreno@devam.com.mx" TargetMode="External"/><Relationship Id="rId95" Type="http://schemas.openxmlformats.org/officeDocument/2006/relationships/hyperlink" Target="mailto:vvilla@devam.com.mx" TargetMode="External"/><Relationship Id="rId22" Type="http://schemas.openxmlformats.org/officeDocument/2006/relationships/hyperlink" Target="mailto:jrmoreno@devam.com.mx" TargetMode="External"/><Relationship Id="rId27" Type="http://schemas.openxmlformats.org/officeDocument/2006/relationships/hyperlink" Target="mailto:vvilla@devam.com.mx" TargetMode="External"/><Relationship Id="rId43" Type="http://schemas.openxmlformats.org/officeDocument/2006/relationships/hyperlink" Target="mailto:vvilla@devam.com.mx" TargetMode="External"/><Relationship Id="rId48" Type="http://schemas.openxmlformats.org/officeDocument/2006/relationships/hyperlink" Target="mailto:vvilla@devam.com.mx" TargetMode="External"/><Relationship Id="rId64" Type="http://schemas.openxmlformats.org/officeDocument/2006/relationships/hyperlink" Target="mailto:vvilla@devam.com.mx" TargetMode="External"/><Relationship Id="rId69" Type="http://schemas.openxmlformats.org/officeDocument/2006/relationships/hyperlink" Target="mailto:vvilla@devam.com.mx" TargetMode="External"/><Relationship Id="rId113" Type="http://schemas.openxmlformats.org/officeDocument/2006/relationships/hyperlink" Target="mailto:jrmoreno@devam.com.mx" TargetMode="External"/><Relationship Id="rId118" Type="http://schemas.openxmlformats.org/officeDocument/2006/relationships/hyperlink" Target="mailto:svilla@devam.com.mx" TargetMode="External"/><Relationship Id="rId134" Type="http://schemas.openxmlformats.org/officeDocument/2006/relationships/hyperlink" Target="mailto:jrmoreno@devam.com.mx" TargetMode="External"/><Relationship Id="rId80" Type="http://schemas.openxmlformats.org/officeDocument/2006/relationships/hyperlink" Target="mailto:svilla@devam.com.mx" TargetMode="External"/><Relationship Id="rId85" Type="http://schemas.openxmlformats.org/officeDocument/2006/relationships/hyperlink" Target="mailto:jrmoreno@devam.com.mx" TargetMode="External"/><Relationship Id="rId12" Type="http://schemas.openxmlformats.org/officeDocument/2006/relationships/hyperlink" Target="mailto:jrmoreno@devam.com.mx" TargetMode="External"/><Relationship Id="rId17" Type="http://schemas.openxmlformats.org/officeDocument/2006/relationships/hyperlink" Target="mailto:jrmoreno@devam.com.mx" TargetMode="External"/><Relationship Id="rId33" Type="http://schemas.openxmlformats.org/officeDocument/2006/relationships/hyperlink" Target="mailto:vvilla@devam.com.mx" TargetMode="External"/><Relationship Id="rId38" Type="http://schemas.openxmlformats.org/officeDocument/2006/relationships/hyperlink" Target="mailto:vvilla@devam.com.mx" TargetMode="External"/><Relationship Id="rId59" Type="http://schemas.openxmlformats.org/officeDocument/2006/relationships/hyperlink" Target="mailto:vvilla@devam.com.mx" TargetMode="External"/><Relationship Id="rId103" Type="http://schemas.openxmlformats.org/officeDocument/2006/relationships/hyperlink" Target="mailto:jrmoreno@devam.com.mx" TargetMode="External"/><Relationship Id="rId108" Type="http://schemas.openxmlformats.org/officeDocument/2006/relationships/hyperlink" Target="mailto:svilla@devam.com.mx" TargetMode="External"/><Relationship Id="rId124" Type="http://schemas.openxmlformats.org/officeDocument/2006/relationships/hyperlink" Target="mailto:svilla@devam.com.mx" TargetMode="External"/><Relationship Id="rId129" Type="http://schemas.openxmlformats.org/officeDocument/2006/relationships/hyperlink" Target="mailto:svilla@devam.com.mx" TargetMode="External"/><Relationship Id="rId54" Type="http://schemas.openxmlformats.org/officeDocument/2006/relationships/hyperlink" Target="mailto:vvilla@devam.com.mx" TargetMode="External"/><Relationship Id="rId70" Type="http://schemas.openxmlformats.org/officeDocument/2006/relationships/hyperlink" Target="mailto:jrmoreno@devam.com.mx" TargetMode="External"/><Relationship Id="rId75" Type="http://schemas.openxmlformats.org/officeDocument/2006/relationships/hyperlink" Target="mailto:svilla@devam.com.mx" TargetMode="External"/><Relationship Id="rId91" Type="http://schemas.openxmlformats.org/officeDocument/2006/relationships/hyperlink" Target="mailto:vvilla@devam.com.mx" TargetMode="External"/><Relationship Id="rId96" Type="http://schemas.openxmlformats.org/officeDocument/2006/relationships/hyperlink" Target="mailto:jrmoreno@devam.com.mx" TargetMode="External"/><Relationship Id="rId1" Type="http://schemas.openxmlformats.org/officeDocument/2006/relationships/hyperlink" Target="mailto:jrmoreno@devam.com.mx" TargetMode="External"/><Relationship Id="rId6" Type="http://schemas.openxmlformats.org/officeDocument/2006/relationships/hyperlink" Target="mailto:jrmoreno@devam.com.mx" TargetMode="External"/><Relationship Id="rId23" Type="http://schemas.openxmlformats.org/officeDocument/2006/relationships/hyperlink" Target="mailto:jrmoreno@devam.com.mx" TargetMode="External"/><Relationship Id="rId28" Type="http://schemas.openxmlformats.org/officeDocument/2006/relationships/hyperlink" Target="mailto:svilla@devam.com.mx" TargetMode="External"/><Relationship Id="rId49" Type="http://schemas.openxmlformats.org/officeDocument/2006/relationships/hyperlink" Target="mailto:vvilla@devam.com.mx" TargetMode="External"/><Relationship Id="rId114" Type="http://schemas.openxmlformats.org/officeDocument/2006/relationships/hyperlink" Target="mailto:jrmoreno@devam.com.mx" TargetMode="External"/><Relationship Id="rId119" Type="http://schemas.openxmlformats.org/officeDocument/2006/relationships/hyperlink" Target="mailto:svilla@devam.com.mx" TargetMode="External"/><Relationship Id="rId44" Type="http://schemas.openxmlformats.org/officeDocument/2006/relationships/hyperlink" Target="mailto:vvilla@devam.com.mx" TargetMode="External"/><Relationship Id="rId60" Type="http://schemas.openxmlformats.org/officeDocument/2006/relationships/hyperlink" Target="mailto:svilla@devam.com.mx" TargetMode="External"/><Relationship Id="rId65" Type="http://schemas.openxmlformats.org/officeDocument/2006/relationships/hyperlink" Target="mailto:jrmoreno@devam.com.mx" TargetMode="External"/><Relationship Id="rId81" Type="http://schemas.openxmlformats.org/officeDocument/2006/relationships/hyperlink" Target="mailto:svilla@devam.com.mx" TargetMode="External"/><Relationship Id="rId86" Type="http://schemas.openxmlformats.org/officeDocument/2006/relationships/hyperlink" Target="mailto:jrmoreno@devam.com.mx" TargetMode="External"/><Relationship Id="rId130" Type="http://schemas.openxmlformats.org/officeDocument/2006/relationships/hyperlink" Target="mailto:svilla@devam.com.mx" TargetMode="External"/><Relationship Id="rId135" Type="http://schemas.openxmlformats.org/officeDocument/2006/relationships/hyperlink" Target="mailto:jrmoreno@devam.com.mx" TargetMode="External"/><Relationship Id="rId13" Type="http://schemas.openxmlformats.org/officeDocument/2006/relationships/hyperlink" Target="mailto:jrmoreno@devam.com.mx" TargetMode="External"/><Relationship Id="rId18" Type="http://schemas.openxmlformats.org/officeDocument/2006/relationships/hyperlink" Target="mailto:jrmoreno@devam.com.mx" TargetMode="External"/><Relationship Id="rId39" Type="http://schemas.openxmlformats.org/officeDocument/2006/relationships/hyperlink" Target="mailto:vvilla@devam.com.mx" TargetMode="External"/><Relationship Id="rId109" Type="http://schemas.openxmlformats.org/officeDocument/2006/relationships/hyperlink" Target="mailto:vvilla@devam.com.mx" TargetMode="External"/><Relationship Id="rId34" Type="http://schemas.openxmlformats.org/officeDocument/2006/relationships/hyperlink" Target="mailto:vvilla@devam.com.mx" TargetMode="External"/><Relationship Id="rId50" Type="http://schemas.openxmlformats.org/officeDocument/2006/relationships/hyperlink" Target="mailto:svilla@devam.com.mx" TargetMode="External"/><Relationship Id="rId55" Type="http://schemas.openxmlformats.org/officeDocument/2006/relationships/hyperlink" Target="mailto:vvilla@devam.com.mx" TargetMode="External"/><Relationship Id="rId76" Type="http://schemas.openxmlformats.org/officeDocument/2006/relationships/hyperlink" Target="mailto:svilla@devam.com.mx" TargetMode="External"/><Relationship Id="rId97" Type="http://schemas.openxmlformats.org/officeDocument/2006/relationships/hyperlink" Target="mailto:jrmoreno@devam.com.mx" TargetMode="External"/><Relationship Id="rId104" Type="http://schemas.openxmlformats.org/officeDocument/2006/relationships/hyperlink" Target="mailto:jrmoreno@devam.com.mx" TargetMode="External"/><Relationship Id="rId120" Type="http://schemas.openxmlformats.org/officeDocument/2006/relationships/hyperlink" Target="mailto:svilla@devam.com.mx" TargetMode="External"/><Relationship Id="rId125" Type="http://schemas.openxmlformats.org/officeDocument/2006/relationships/hyperlink" Target="mailto:svilla@devam.com.mx" TargetMode="External"/><Relationship Id="rId7" Type="http://schemas.openxmlformats.org/officeDocument/2006/relationships/hyperlink" Target="mailto:jrmoreno@devam.com.mx" TargetMode="External"/><Relationship Id="rId71" Type="http://schemas.openxmlformats.org/officeDocument/2006/relationships/hyperlink" Target="mailto:jrmoreno@devam.com.mx" TargetMode="External"/><Relationship Id="rId92" Type="http://schemas.openxmlformats.org/officeDocument/2006/relationships/hyperlink" Target="mailto:vvilla@devam.com.mx" TargetMode="External"/><Relationship Id="rId2" Type="http://schemas.openxmlformats.org/officeDocument/2006/relationships/hyperlink" Target="mailto:jrmoreno@devam.com.mx" TargetMode="External"/><Relationship Id="rId29" Type="http://schemas.openxmlformats.org/officeDocument/2006/relationships/hyperlink" Target="mailto:svilla@devam.com.mx" TargetMode="External"/><Relationship Id="rId24" Type="http://schemas.openxmlformats.org/officeDocument/2006/relationships/hyperlink" Target="mailto:vvilla@devam.com.mx" TargetMode="External"/><Relationship Id="rId40" Type="http://schemas.openxmlformats.org/officeDocument/2006/relationships/hyperlink" Target="mailto:vvilla@devam.com.mx" TargetMode="External"/><Relationship Id="rId45" Type="http://schemas.openxmlformats.org/officeDocument/2006/relationships/hyperlink" Target="mailto:vvilla@devam.com.mx" TargetMode="External"/><Relationship Id="rId66" Type="http://schemas.openxmlformats.org/officeDocument/2006/relationships/hyperlink" Target="mailto:jrmoreno@devam.com.mx" TargetMode="External"/><Relationship Id="rId87" Type="http://schemas.openxmlformats.org/officeDocument/2006/relationships/hyperlink" Target="mailto:jrmoreno@devam.com.mx" TargetMode="External"/><Relationship Id="rId110" Type="http://schemas.openxmlformats.org/officeDocument/2006/relationships/hyperlink" Target="mailto:vvilla@devam.com.mx" TargetMode="External"/><Relationship Id="rId115" Type="http://schemas.openxmlformats.org/officeDocument/2006/relationships/hyperlink" Target="mailto:jrmoreno@devam.com.mx" TargetMode="External"/><Relationship Id="rId131" Type="http://schemas.openxmlformats.org/officeDocument/2006/relationships/hyperlink" Target="mailto:jrmoreno@devam.com.mx" TargetMode="External"/><Relationship Id="rId136" Type="http://schemas.openxmlformats.org/officeDocument/2006/relationships/hyperlink" Target="mailto:jrmoreno@devam.com.mx" TargetMode="External"/><Relationship Id="rId61" Type="http://schemas.openxmlformats.org/officeDocument/2006/relationships/hyperlink" Target="mailto:svilla@devam.com.mx" TargetMode="External"/><Relationship Id="rId82" Type="http://schemas.openxmlformats.org/officeDocument/2006/relationships/hyperlink" Target="mailto:svilla@devam.com.mx" TargetMode="External"/><Relationship Id="rId19" Type="http://schemas.openxmlformats.org/officeDocument/2006/relationships/hyperlink" Target="mailto:jrmoreno@devam.com.mx" TargetMode="External"/><Relationship Id="rId14" Type="http://schemas.openxmlformats.org/officeDocument/2006/relationships/hyperlink" Target="mailto:jrmoreno@devam.com.mx" TargetMode="External"/><Relationship Id="rId30" Type="http://schemas.openxmlformats.org/officeDocument/2006/relationships/hyperlink" Target="mailto:vvilla@devam.com.mx" TargetMode="External"/><Relationship Id="rId35" Type="http://schemas.openxmlformats.org/officeDocument/2006/relationships/hyperlink" Target="mailto:vvilla@devam.com.mx" TargetMode="External"/><Relationship Id="rId56" Type="http://schemas.openxmlformats.org/officeDocument/2006/relationships/hyperlink" Target="mailto:vvilla@devam.com.mx" TargetMode="External"/><Relationship Id="rId77" Type="http://schemas.openxmlformats.org/officeDocument/2006/relationships/hyperlink" Target="mailto:svilla@devam.com.mx" TargetMode="External"/><Relationship Id="rId100" Type="http://schemas.openxmlformats.org/officeDocument/2006/relationships/hyperlink" Target="mailto:vvilla@devam.com.mx" TargetMode="External"/><Relationship Id="rId105" Type="http://schemas.openxmlformats.org/officeDocument/2006/relationships/hyperlink" Target="mailto:svilla@devam.com.mx" TargetMode="External"/><Relationship Id="rId126" Type="http://schemas.openxmlformats.org/officeDocument/2006/relationships/hyperlink" Target="mailto:svilla@devam.com.mx" TargetMode="External"/><Relationship Id="rId8" Type="http://schemas.openxmlformats.org/officeDocument/2006/relationships/hyperlink" Target="mailto:jrmoreno@devam.com.mx" TargetMode="External"/><Relationship Id="rId51" Type="http://schemas.openxmlformats.org/officeDocument/2006/relationships/hyperlink" Target="mailto:svilla@devam.com.mx" TargetMode="External"/><Relationship Id="rId72" Type="http://schemas.openxmlformats.org/officeDocument/2006/relationships/hyperlink" Target="mailto:jrmoreno@devam.com.mx" TargetMode="External"/><Relationship Id="rId93" Type="http://schemas.openxmlformats.org/officeDocument/2006/relationships/hyperlink" Target="mailto:jrmoreno@devam.com.mx" TargetMode="External"/><Relationship Id="rId98" Type="http://schemas.openxmlformats.org/officeDocument/2006/relationships/hyperlink" Target="mailto:jrmoreno@devam.com.mx" TargetMode="External"/><Relationship Id="rId121" Type="http://schemas.openxmlformats.org/officeDocument/2006/relationships/hyperlink" Target="mailto:svilla@devam.com.mx" TargetMode="External"/><Relationship Id="rId3" Type="http://schemas.openxmlformats.org/officeDocument/2006/relationships/hyperlink" Target="mailto:jrmoreno@devam.com.mx" TargetMode="External"/><Relationship Id="rId25" Type="http://schemas.openxmlformats.org/officeDocument/2006/relationships/hyperlink" Target="mailto:vvilla@devam.com.mx" TargetMode="External"/><Relationship Id="rId46" Type="http://schemas.openxmlformats.org/officeDocument/2006/relationships/hyperlink" Target="mailto:vvilla@devam.com.mx" TargetMode="External"/><Relationship Id="rId67" Type="http://schemas.openxmlformats.org/officeDocument/2006/relationships/hyperlink" Target="mailto:vvilla@devam.com.mx" TargetMode="External"/><Relationship Id="rId116" Type="http://schemas.openxmlformats.org/officeDocument/2006/relationships/hyperlink" Target="mailto:jrmoreno@devam.com.mx" TargetMode="External"/><Relationship Id="rId20" Type="http://schemas.openxmlformats.org/officeDocument/2006/relationships/hyperlink" Target="mailto:jrmoreno@devam.com.mx" TargetMode="External"/><Relationship Id="rId41" Type="http://schemas.openxmlformats.org/officeDocument/2006/relationships/hyperlink" Target="mailto:vvilla@devam.com.mx" TargetMode="External"/><Relationship Id="rId62" Type="http://schemas.openxmlformats.org/officeDocument/2006/relationships/hyperlink" Target="mailto:svilla@devam.com.mx" TargetMode="External"/><Relationship Id="rId83" Type="http://schemas.openxmlformats.org/officeDocument/2006/relationships/hyperlink" Target="mailto:jrmoreno@devam.com.mx" TargetMode="External"/><Relationship Id="rId88" Type="http://schemas.openxmlformats.org/officeDocument/2006/relationships/hyperlink" Target="mailto:jrmoreno@devam.com.mx" TargetMode="External"/><Relationship Id="rId111" Type="http://schemas.openxmlformats.org/officeDocument/2006/relationships/hyperlink" Target="mailto:vvilla@devam.com.mx" TargetMode="External"/><Relationship Id="rId132" Type="http://schemas.openxmlformats.org/officeDocument/2006/relationships/hyperlink" Target="mailto:jrmoreno@devam.com.mx" TargetMode="External"/><Relationship Id="rId15" Type="http://schemas.openxmlformats.org/officeDocument/2006/relationships/hyperlink" Target="mailto:jrmoreno@devam.com.mx" TargetMode="External"/><Relationship Id="rId36" Type="http://schemas.openxmlformats.org/officeDocument/2006/relationships/hyperlink" Target="mailto:vvilla@devam.com.mx" TargetMode="External"/><Relationship Id="rId57" Type="http://schemas.openxmlformats.org/officeDocument/2006/relationships/hyperlink" Target="mailto:vvilla@devam.com.mx" TargetMode="External"/><Relationship Id="rId106" Type="http://schemas.openxmlformats.org/officeDocument/2006/relationships/hyperlink" Target="mailto:jrmoreno@devam.com.mx" TargetMode="External"/><Relationship Id="rId127" Type="http://schemas.openxmlformats.org/officeDocument/2006/relationships/hyperlink" Target="mailto:svilla@devam.com.mx" TargetMode="External"/><Relationship Id="rId10" Type="http://schemas.openxmlformats.org/officeDocument/2006/relationships/hyperlink" Target="mailto:jrmoreno@devam.com.mx" TargetMode="External"/><Relationship Id="rId31" Type="http://schemas.openxmlformats.org/officeDocument/2006/relationships/hyperlink" Target="mailto:vvilla@devam.com.mx" TargetMode="External"/><Relationship Id="rId52" Type="http://schemas.openxmlformats.org/officeDocument/2006/relationships/hyperlink" Target="mailto:svilla@devam.com.mx" TargetMode="External"/><Relationship Id="rId73" Type="http://schemas.openxmlformats.org/officeDocument/2006/relationships/hyperlink" Target="mailto:jrmoreno@devam.com.mx" TargetMode="External"/><Relationship Id="rId78" Type="http://schemas.openxmlformats.org/officeDocument/2006/relationships/hyperlink" Target="mailto:svilla@devam.com.mx" TargetMode="External"/><Relationship Id="rId94" Type="http://schemas.openxmlformats.org/officeDocument/2006/relationships/hyperlink" Target="mailto:svilla@devam.com.mx" TargetMode="External"/><Relationship Id="rId99" Type="http://schemas.openxmlformats.org/officeDocument/2006/relationships/hyperlink" Target="mailto:svilla@devam.com.mx" TargetMode="External"/><Relationship Id="rId101" Type="http://schemas.openxmlformats.org/officeDocument/2006/relationships/hyperlink" Target="mailto:jrmoreno@devam.com.mx" TargetMode="External"/><Relationship Id="rId122" Type="http://schemas.openxmlformats.org/officeDocument/2006/relationships/hyperlink" Target="mailto:svilla@devam.com.mx" TargetMode="External"/><Relationship Id="rId4" Type="http://schemas.openxmlformats.org/officeDocument/2006/relationships/hyperlink" Target="mailto:jrmoreno@devam.com.mx" TargetMode="External"/><Relationship Id="rId9" Type="http://schemas.openxmlformats.org/officeDocument/2006/relationships/hyperlink" Target="mailto:jrmoreno@devam.com.mx" TargetMode="External"/><Relationship Id="rId26" Type="http://schemas.openxmlformats.org/officeDocument/2006/relationships/hyperlink" Target="mailto:vvilla@devam.com.mx" TargetMode="External"/><Relationship Id="rId47" Type="http://schemas.openxmlformats.org/officeDocument/2006/relationships/hyperlink" Target="mailto:vvilla@devam.com.mx" TargetMode="External"/><Relationship Id="rId68" Type="http://schemas.openxmlformats.org/officeDocument/2006/relationships/hyperlink" Target="mailto:jrmoreno@devam.com.mx" TargetMode="External"/><Relationship Id="rId89" Type="http://schemas.openxmlformats.org/officeDocument/2006/relationships/hyperlink" Target="mailto:jrmoreno@devam.com.mx" TargetMode="External"/><Relationship Id="rId112" Type="http://schemas.openxmlformats.org/officeDocument/2006/relationships/hyperlink" Target="mailto:jrmoreno@devam.com.mx" TargetMode="External"/><Relationship Id="rId133" Type="http://schemas.openxmlformats.org/officeDocument/2006/relationships/hyperlink" Target="mailto:jrmoreno@devam.com.m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rmoreno@devam.com.mx" TargetMode="External"/><Relationship Id="rId13" Type="http://schemas.openxmlformats.org/officeDocument/2006/relationships/hyperlink" Target="mailto:svilla@devam.com.mx" TargetMode="External"/><Relationship Id="rId3" Type="http://schemas.openxmlformats.org/officeDocument/2006/relationships/hyperlink" Target="mailto:jrmoreno@devam.com.mx" TargetMode="External"/><Relationship Id="rId7" Type="http://schemas.openxmlformats.org/officeDocument/2006/relationships/hyperlink" Target="mailto:jrmoreno@devam.com.mx" TargetMode="External"/><Relationship Id="rId12" Type="http://schemas.openxmlformats.org/officeDocument/2006/relationships/hyperlink" Target="mailto:vvilla@devam.com.mx" TargetMode="External"/><Relationship Id="rId2" Type="http://schemas.openxmlformats.org/officeDocument/2006/relationships/pivotTable" Target="../pivotTables/pivotTable2.xml"/><Relationship Id="rId16" Type="http://schemas.openxmlformats.org/officeDocument/2006/relationships/hyperlink" Target="mailto:svilla@devam.com.mx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mailto:jrmoreno@devam.com.mx" TargetMode="External"/><Relationship Id="rId11" Type="http://schemas.openxmlformats.org/officeDocument/2006/relationships/hyperlink" Target="mailto:svilla@devam.com.mx" TargetMode="External"/><Relationship Id="rId5" Type="http://schemas.openxmlformats.org/officeDocument/2006/relationships/hyperlink" Target="mailto:vvilla@devam.com.mx" TargetMode="External"/><Relationship Id="rId15" Type="http://schemas.openxmlformats.org/officeDocument/2006/relationships/hyperlink" Target="mailto:vvilla@devam.com.mx" TargetMode="External"/><Relationship Id="rId10" Type="http://schemas.openxmlformats.org/officeDocument/2006/relationships/hyperlink" Target="mailto:vvilla@devam.com.mx" TargetMode="External"/><Relationship Id="rId4" Type="http://schemas.openxmlformats.org/officeDocument/2006/relationships/hyperlink" Target="mailto:svilla@devam.com.mx" TargetMode="External"/><Relationship Id="rId9" Type="http://schemas.openxmlformats.org/officeDocument/2006/relationships/hyperlink" Target="mailto:svilla@devam.com.mx" TargetMode="External"/><Relationship Id="rId14" Type="http://schemas.openxmlformats.org/officeDocument/2006/relationships/hyperlink" Target="mailto:svilla@devam.com.m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vvilla@devam.com.mx" TargetMode="External"/><Relationship Id="rId3" Type="http://schemas.openxmlformats.org/officeDocument/2006/relationships/hyperlink" Target="mailto:jrmoreno@devam.com.mx" TargetMode="External"/><Relationship Id="rId7" Type="http://schemas.openxmlformats.org/officeDocument/2006/relationships/hyperlink" Target="mailto:svilla@devam.com.mx" TargetMode="External"/><Relationship Id="rId12" Type="http://schemas.openxmlformats.org/officeDocument/2006/relationships/hyperlink" Target="mailto:svilla@devam.com.mx" TargetMode="External"/><Relationship Id="rId2" Type="http://schemas.openxmlformats.org/officeDocument/2006/relationships/hyperlink" Target="mailto:jrmoreno@devam.com.mx" TargetMode="External"/><Relationship Id="rId1" Type="http://schemas.openxmlformats.org/officeDocument/2006/relationships/pivotTable" Target="../pivotTables/pivotTable3.xml"/><Relationship Id="rId6" Type="http://schemas.openxmlformats.org/officeDocument/2006/relationships/hyperlink" Target="mailto:vvilla@devam.com.mx" TargetMode="External"/><Relationship Id="rId11" Type="http://schemas.openxmlformats.org/officeDocument/2006/relationships/hyperlink" Target="mailto:vvilla@devam.com.mx" TargetMode="External"/><Relationship Id="rId5" Type="http://schemas.openxmlformats.org/officeDocument/2006/relationships/hyperlink" Target="mailto:svilla@devam.com.mx" TargetMode="External"/><Relationship Id="rId10" Type="http://schemas.openxmlformats.org/officeDocument/2006/relationships/hyperlink" Target="mailto:svilla@devam.com.mx" TargetMode="External"/><Relationship Id="rId4" Type="http://schemas.openxmlformats.org/officeDocument/2006/relationships/hyperlink" Target="mailto:jrmoreno@devam.com.mx" TargetMode="External"/><Relationship Id="rId9" Type="http://schemas.openxmlformats.org/officeDocument/2006/relationships/hyperlink" Target="mailto:svilla@devam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Y1051"/>
  <sheetViews>
    <sheetView workbookViewId="0"/>
  </sheetViews>
  <sheetFormatPr baseColWidth="10" defaultColWidth="11.19921875" defaultRowHeight="15" customHeight="1" x14ac:dyDescent="0.3"/>
  <cols>
    <col min="1" max="1" width="13.296875" customWidth="1"/>
    <col min="2" max="2" width="40.59765625" customWidth="1"/>
    <col min="3" max="3" width="43.09765625" customWidth="1"/>
    <col min="4" max="4" width="60.8984375" customWidth="1"/>
    <col min="5" max="9" width="14.8984375" customWidth="1"/>
    <col min="11" max="11" width="6.59765625" customWidth="1"/>
    <col min="12" max="12" width="10.3984375" customWidth="1"/>
    <col min="13" max="13" width="9" customWidth="1"/>
    <col min="14" max="14" width="9.8984375" customWidth="1"/>
  </cols>
  <sheetData>
    <row r="1" spans="1:103" ht="15.6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44</v>
      </c>
      <c r="J1" s="2"/>
      <c r="K1" s="2"/>
      <c r="L1" s="2"/>
      <c r="M1" s="2"/>
      <c r="N1" s="3"/>
      <c r="O1" s="1" t="s">
        <v>20</v>
      </c>
      <c r="P1" s="1" t="s">
        <v>19</v>
      </c>
      <c r="Q1" s="1" t="s">
        <v>0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</row>
    <row r="2" spans="1:103" ht="15.6" x14ac:dyDescent="0.3">
      <c r="A2" s="4" t="s">
        <v>2</v>
      </c>
      <c r="B2" s="5" t="s">
        <v>45</v>
      </c>
      <c r="C2" s="6" t="s">
        <v>77</v>
      </c>
      <c r="D2" s="7" t="s">
        <v>78</v>
      </c>
      <c r="E2" s="8" t="s">
        <v>7</v>
      </c>
      <c r="F2" s="9" t="s">
        <v>6</v>
      </c>
      <c r="G2" s="8" t="s">
        <v>10</v>
      </c>
      <c r="H2" s="10" t="s">
        <v>50</v>
      </c>
      <c r="I2" s="8" t="s">
        <v>20</v>
      </c>
      <c r="J2" s="2"/>
      <c r="K2" s="2"/>
      <c r="L2" s="2"/>
      <c r="M2" s="2"/>
      <c r="N2" s="11" t="s">
        <v>47</v>
      </c>
      <c r="O2" s="12">
        <f>SUM(D29,C51,C59,C71)</f>
        <v>27462590</v>
      </c>
      <c r="P2" s="12">
        <v>9305010</v>
      </c>
      <c r="Q2" s="12">
        <f t="shared" ref="Q2:Q3" si="0">O2+P2</f>
        <v>36767600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</row>
    <row r="3" spans="1:103" ht="15.6" x14ac:dyDescent="0.3">
      <c r="A3" s="4" t="s">
        <v>2</v>
      </c>
      <c r="B3" s="5" t="s">
        <v>45</v>
      </c>
      <c r="C3" s="6" t="s">
        <v>77</v>
      </c>
      <c r="D3" s="7" t="s">
        <v>79</v>
      </c>
      <c r="E3" s="8" t="s">
        <v>7</v>
      </c>
      <c r="F3" s="9" t="s">
        <v>6</v>
      </c>
      <c r="G3" s="8" t="s">
        <v>10</v>
      </c>
      <c r="H3" s="10" t="s">
        <v>50</v>
      </c>
      <c r="I3" s="8" t="s">
        <v>20</v>
      </c>
      <c r="J3" s="2"/>
      <c r="K3" s="2"/>
      <c r="L3" s="2"/>
      <c r="M3" s="2"/>
      <c r="N3" s="11" t="s">
        <v>48</v>
      </c>
      <c r="O3" s="12">
        <v>38500000</v>
      </c>
      <c r="P3" s="12">
        <v>6600000</v>
      </c>
      <c r="Q3" s="12">
        <f t="shared" si="0"/>
        <v>45100000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</row>
    <row r="4" spans="1:103" ht="15.6" x14ac:dyDescent="0.3">
      <c r="A4" s="4" t="s">
        <v>2</v>
      </c>
      <c r="B4" s="5" t="s">
        <v>45</v>
      </c>
      <c r="C4" s="6" t="s">
        <v>77</v>
      </c>
      <c r="D4" s="7" t="s">
        <v>29</v>
      </c>
      <c r="E4" s="8" t="s">
        <v>7</v>
      </c>
      <c r="F4" s="8"/>
      <c r="G4" s="8"/>
      <c r="H4" s="10" t="s">
        <v>50</v>
      </c>
      <c r="I4" s="8" t="s">
        <v>20</v>
      </c>
      <c r="J4" s="2"/>
      <c r="K4" s="2"/>
      <c r="L4" s="2"/>
      <c r="M4" s="2"/>
      <c r="N4" s="11"/>
      <c r="O4" s="12"/>
      <c r="P4" s="12"/>
      <c r="Q4" s="3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</row>
    <row r="5" spans="1:103" ht="15.6" x14ac:dyDescent="0.3">
      <c r="A5" s="4" t="s">
        <v>2</v>
      </c>
      <c r="B5" s="5" t="s">
        <v>45</v>
      </c>
      <c r="C5" s="6" t="s">
        <v>77</v>
      </c>
      <c r="D5" s="7" t="s">
        <v>80</v>
      </c>
      <c r="E5" s="8" t="s">
        <v>7</v>
      </c>
      <c r="F5" s="8"/>
      <c r="G5" s="8"/>
      <c r="H5" s="10" t="s">
        <v>50</v>
      </c>
      <c r="I5" s="8" t="s">
        <v>40</v>
      </c>
      <c r="J5" s="2"/>
      <c r="K5" s="2"/>
      <c r="L5" s="2"/>
      <c r="M5" s="2"/>
      <c r="N5" s="11"/>
      <c r="O5" s="12"/>
      <c r="P5" s="12"/>
      <c r="Q5" s="3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</row>
    <row r="6" spans="1:103" ht="15.6" x14ac:dyDescent="0.3">
      <c r="A6" s="13" t="s">
        <v>2</v>
      </c>
      <c r="B6" s="5" t="s">
        <v>45</v>
      </c>
      <c r="C6" s="6" t="s">
        <v>77</v>
      </c>
      <c r="D6" s="7" t="s">
        <v>30</v>
      </c>
      <c r="E6" s="8" t="s">
        <v>7</v>
      </c>
      <c r="F6" s="8"/>
      <c r="G6" s="8"/>
      <c r="H6" s="10" t="s">
        <v>50</v>
      </c>
      <c r="I6" s="8" t="s">
        <v>40</v>
      </c>
      <c r="J6" s="2"/>
      <c r="K6" s="2"/>
      <c r="L6" s="2"/>
      <c r="M6" s="2"/>
      <c r="N6" s="11"/>
      <c r="O6" s="12"/>
      <c r="P6" s="12"/>
      <c r="Q6" s="3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</row>
    <row r="7" spans="1:103" ht="15.6" x14ac:dyDescent="0.3">
      <c r="A7" s="13" t="s">
        <v>2</v>
      </c>
      <c r="B7" s="5" t="s">
        <v>45</v>
      </c>
      <c r="C7" s="6" t="s">
        <v>77</v>
      </c>
      <c r="D7" s="7" t="s">
        <v>31</v>
      </c>
      <c r="E7" s="8" t="s">
        <v>7</v>
      </c>
      <c r="F7" s="8"/>
      <c r="G7" s="8"/>
      <c r="H7" s="10" t="s">
        <v>50</v>
      </c>
      <c r="I7" s="8" t="s">
        <v>40</v>
      </c>
      <c r="J7" s="2"/>
      <c r="K7" s="2"/>
      <c r="L7" s="2"/>
      <c r="M7" s="2"/>
      <c r="N7" s="11"/>
      <c r="O7" s="12"/>
      <c r="P7" s="12"/>
      <c r="Q7" s="3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</row>
    <row r="8" spans="1:103" ht="15.6" x14ac:dyDescent="0.3">
      <c r="A8" s="13" t="s">
        <v>2</v>
      </c>
      <c r="B8" s="5" t="s">
        <v>45</v>
      </c>
      <c r="C8" s="6" t="s">
        <v>77</v>
      </c>
      <c r="D8" s="7" t="s">
        <v>81</v>
      </c>
      <c r="E8" s="8" t="s">
        <v>7</v>
      </c>
      <c r="F8" s="8"/>
      <c r="G8" s="8"/>
      <c r="H8" s="10" t="s">
        <v>50</v>
      </c>
      <c r="I8" s="8" t="s">
        <v>40</v>
      </c>
      <c r="J8" s="2"/>
      <c r="K8" s="2"/>
      <c r="L8" s="2"/>
      <c r="M8" s="2"/>
      <c r="N8" s="11"/>
      <c r="O8" s="12"/>
      <c r="P8" s="12"/>
      <c r="Q8" s="3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</row>
    <row r="9" spans="1:103" ht="15.6" x14ac:dyDescent="0.3">
      <c r="A9" s="13" t="s">
        <v>2</v>
      </c>
      <c r="B9" s="5" t="s">
        <v>45</v>
      </c>
      <c r="C9" s="6" t="s">
        <v>77</v>
      </c>
      <c r="D9" s="7" t="s">
        <v>32</v>
      </c>
      <c r="E9" s="8" t="s">
        <v>7</v>
      </c>
      <c r="F9" s="8" t="s">
        <v>82</v>
      </c>
      <c r="G9" s="8" t="s">
        <v>83</v>
      </c>
      <c r="H9" s="10" t="s">
        <v>50</v>
      </c>
      <c r="I9" s="8" t="s">
        <v>40</v>
      </c>
      <c r="J9" s="2"/>
      <c r="K9" s="2"/>
      <c r="L9" s="2"/>
      <c r="M9" s="2"/>
      <c r="N9" s="11"/>
      <c r="O9" s="12"/>
      <c r="P9" s="12"/>
      <c r="Q9" s="3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</row>
    <row r="10" spans="1:103" ht="15.6" x14ac:dyDescent="0.3">
      <c r="A10" s="13" t="s">
        <v>2</v>
      </c>
      <c r="B10" s="5" t="s">
        <v>45</v>
      </c>
      <c r="C10" s="6" t="s">
        <v>77</v>
      </c>
      <c r="D10" s="7" t="s">
        <v>33</v>
      </c>
      <c r="E10" s="8" t="s">
        <v>7</v>
      </c>
      <c r="F10" s="8" t="s">
        <v>82</v>
      </c>
      <c r="G10" s="8" t="s">
        <v>83</v>
      </c>
      <c r="H10" s="10" t="s">
        <v>50</v>
      </c>
      <c r="I10" s="8" t="s">
        <v>40</v>
      </c>
      <c r="J10" s="2"/>
      <c r="K10" s="2"/>
      <c r="L10" s="2"/>
      <c r="M10" s="2"/>
      <c r="N10" s="11"/>
      <c r="O10" s="12"/>
      <c r="P10" s="12"/>
      <c r="Q10" s="3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</row>
    <row r="11" spans="1:103" ht="15.6" x14ac:dyDescent="0.3">
      <c r="A11" s="13" t="s">
        <v>2</v>
      </c>
      <c r="B11" s="5" t="s">
        <v>45</v>
      </c>
      <c r="C11" s="6" t="s">
        <v>77</v>
      </c>
      <c r="D11" s="7" t="s">
        <v>78</v>
      </c>
      <c r="E11" s="8" t="s">
        <v>9</v>
      </c>
      <c r="F11" s="9" t="s">
        <v>6</v>
      </c>
      <c r="G11" s="8" t="s">
        <v>10</v>
      </c>
      <c r="H11" s="10" t="s">
        <v>50</v>
      </c>
      <c r="I11" s="8" t="s">
        <v>20</v>
      </c>
      <c r="J11" s="2"/>
      <c r="K11" s="2"/>
      <c r="L11" s="2"/>
      <c r="M11" s="2"/>
      <c r="N11" s="11"/>
      <c r="O11" s="12"/>
      <c r="P11" s="12"/>
      <c r="Q11" s="3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</row>
    <row r="12" spans="1:103" ht="15.6" x14ac:dyDescent="0.3">
      <c r="A12" s="13" t="s">
        <v>2</v>
      </c>
      <c r="B12" s="5" t="s">
        <v>45</v>
      </c>
      <c r="C12" s="6" t="s">
        <v>77</v>
      </c>
      <c r="D12" s="7" t="s">
        <v>79</v>
      </c>
      <c r="E12" s="8" t="s">
        <v>9</v>
      </c>
      <c r="F12" s="9" t="s">
        <v>6</v>
      </c>
      <c r="G12" s="8" t="s">
        <v>10</v>
      </c>
      <c r="H12" s="10" t="s">
        <v>50</v>
      </c>
      <c r="I12" s="8" t="s">
        <v>20</v>
      </c>
      <c r="J12" s="2"/>
      <c r="K12" s="2"/>
      <c r="L12" s="2"/>
      <c r="M12" s="2"/>
      <c r="N12" s="11"/>
      <c r="O12" s="12"/>
      <c r="P12" s="12"/>
      <c r="Q12" s="3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</row>
    <row r="13" spans="1:103" ht="15.6" x14ac:dyDescent="0.3">
      <c r="A13" s="13" t="s">
        <v>2</v>
      </c>
      <c r="B13" s="5" t="s">
        <v>45</v>
      </c>
      <c r="C13" s="6" t="s">
        <v>77</v>
      </c>
      <c r="D13" s="7" t="s">
        <v>29</v>
      </c>
      <c r="E13" s="8" t="s">
        <v>9</v>
      </c>
      <c r="F13" s="8"/>
      <c r="G13" s="8"/>
      <c r="H13" s="10" t="s">
        <v>50</v>
      </c>
      <c r="I13" s="8" t="s">
        <v>20</v>
      </c>
      <c r="J13" s="2"/>
      <c r="K13" s="2"/>
      <c r="L13" s="2"/>
      <c r="M13" s="2"/>
      <c r="N13" s="11"/>
      <c r="O13" s="12"/>
      <c r="P13" s="12"/>
      <c r="Q13" s="3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</row>
    <row r="14" spans="1:103" ht="15.6" x14ac:dyDescent="0.3">
      <c r="A14" s="13" t="s">
        <v>2</v>
      </c>
      <c r="B14" s="5" t="s">
        <v>45</v>
      </c>
      <c r="C14" s="6" t="s">
        <v>77</v>
      </c>
      <c r="D14" s="7" t="s">
        <v>80</v>
      </c>
      <c r="E14" s="8" t="s">
        <v>9</v>
      </c>
      <c r="F14" s="8"/>
      <c r="G14" s="8"/>
      <c r="H14" s="10" t="s">
        <v>50</v>
      </c>
      <c r="I14" s="8" t="s">
        <v>40</v>
      </c>
      <c r="J14" s="2"/>
      <c r="K14" s="2"/>
      <c r="L14" s="2"/>
      <c r="M14" s="2"/>
      <c r="N14" s="11"/>
      <c r="O14" s="12"/>
      <c r="P14" s="12"/>
      <c r="Q14" s="3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</row>
    <row r="15" spans="1:103" ht="15.6" x14ac:dyDescent="0.3">
      <c r="A15" s="13" t="s">
        <v>2</v>
      </c>
      <c r="B15" s="5" t="s">
        <v>45</v>
      </c>
      <c r="C15" s="6" t="s">
        <v>77</v>
      </c>
      <c r="D15" s="7" t="s">
        <v>30</v>
      </c>
      <c r="E15" s="8" t="s">
        <v>9</v>
      </c>
      <c r="F15" s="8"/>
      <c r="G15" s="8"/>
      <c r="H15" s="10" t="s">
        <v>50</v>
      </c>
      <c r="I15" s="8" t="s">
        <v>40</v>
      </c>
      <c r="J15" s="2"/>
      <c r="K15" s="2"/>
      <c r="L15" s="2"/>
      <c r="M15" s="2"/>
      <c r="N15" s="11"/>
      <c r="O15" s="12"/>
      <c r="P15" s="12"/>
      <c r="Q15" s="3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</row>
    <row r="16" spans="1:103" ht="15.6" x14ac:dyDescent="0.3">
      <c r="A16" s="13" t="s">
        <v>2</v>
      </c>
      <c r="B16" s="5" t="s">
        <v>45</v>
      </c>
      <c r="C16" s="6" t="s">
        <v>77</v>
      </c>
      <c r="D16" s="7" t="s">
        <v>31</v>
      </c>
      <c r="E16" s="8" t="s">
        <v>9</v>
      </c>
      <c r="F16" s="8"/>
      <c r="G16" s="8"/>
      <c r="H16" s="10" t="s">
        <v>50</v>
      </c>
      <c r="I16" s="8" t="s">
        <v>40</v>
      </c>
      <c r="J16" s="2"/>
      <c r="K16" s="2"/>
      <c r="L16" s="2"/>
      <c r="M16" s="2"/>
      <c r="N16" s="11"/>
      <c r="O16" s="12"/>
      <c r="P16" s="12"/>
      <c r="Q16" s="3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</row>
    <row r="17" spans="1:103" ht="15.6" x14ac:dyDescent="0.3">
      <c r="A17" s="13" t="s">
        <v>2</v>
      </c>
      <c r="B17" s="5" t="s">
        <v>45</v>
      </c>
      <c r="C17" s="6" t="s">
        <v>77</v>
      </c>
      <c r="D17" s="7" t="s">
        <v>81</v>
      </c>
      <c r="E17" s="8" t="s">
        <v>9</v>
      </c>
      <c r="F17" s="8"/>
      <c r="G17" s="8"/>
      <c r="H17" s="10" t="s">
        <v>50</v>
      </c>
      <c r="I17" s="8" t="s">
        <v>40</v>
      </c>
      <c r="J17" s="2"/>
      <c r="K17" s="2"/>
      <c r="L17" s="2"/>
      <c r="M17" s="2"/>
      <c r="N17" s="11"/>
      <c r="O17" s="12"/>
      <c r="P17" s="12"/>
      <c r="Q17" s="3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</row>
    <row r="18" spans="1:103" ht="15.6" x14ac:dyDescent="0.3">
      <c r="A18" s="13" t="s">
        <v>2</v>
      </c>
      <c r="B18" s="5" t="s">
        <v>45</v>
      </c>
      <c r="C18" s="6" t="s">
        <v>77</v>
      </c>
      <c r="D18" s="7" t="s">
        <v>32</v>
      </c>
      <c r="E18" s="8" t="s">
        <v>9</v>
      </c>
      <c r="F18" s="8" t="s">
        <v>82</v>
      </c>
      <c r="G18" s="8" t="s">
        <v>83</v>
      </c>
      <c r="H18" s="10" t="s">
        <v>50</v>
      </c>
      <c r="I18" s="8" t="s">
        <v>40</v>
      </c>
      <c r="J18" s="2"/>
      <c r="K18" s="2"/>
      <c r="L18" s="2"/>
      <c r="M18" s="2"/>
      <c r="N18" s="11"/>
      <c r="O18" s="12"/>
      <c r="P18" s="12"/>
      <c r="Q18" s="3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</row>
    <row r="19" spans="1:103" ht="15.6" x14ac:dyDescent="0.3">
      <c r="A19" s="13" t="s">
        <v>2</v>
      </c>
      <c r="B19" s="5" t="s">
        <v>45</v>
      </c>
      <c r="C19" s="6" t="s">
        <v>77</v>
      </c>
      <c r="D19" s="7" t="s">
        <v>33</v>
      </c>
      <c r="E19" s="8" t="s">
        <v>9</v>
      </c>
      <c r="F19" s="8" t="s">
        <v>82</v>
      </c>
      <c r="G19" s="8" t="s">
        <v>83</v>
      </c>
      <c r="H19" s="10" t="s">
        <v>50</v>
      </c>
      <c r="I19" s="8" t="s">
        <v>40</v>
      </c>
      <c r="J19" s="2"/>
      <c r="K19" s="2"/>
      <c r="L19" s="2"/>
      <c r="M19" s="2"/>
      <c r="N19" s="11"/>
      <c r="O19" s="12"/>
      <c r="P19" s="12"/>
      <c r="Q19" s="3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</row>
    <row r="20" spans="1:103" ht="15.6" x14ac:dyDescent="0.3">
      <c r="A20" s="13" t="s">
        <v>2</v>
      </c>
      <c r="B20" s="5" t="s">
        <v>45</v>
      </c>
      <c r="C20" s="14" t="s">
        <v>84</v>
      </c>
      <c r="D20" s="7" t="s">
        <v>35</v>
      </c>
      <c r="E20" s="8" t="s">
        <v>34</v>
      </c>
      <c r="F20" s="8" t="s">
        <v>6</v>
      </c>
      <c r="G20" s="8"/>
      <c r="H20" s="10" t="s">
        <v>50</v>
      </c>
      <c r="I20" s="8" t="s">
        <v>40</v>
      </c>
      <c r="J20" s="2"/>
      <c r="K20" s="2"/>
      <c r="L20" s="2"/>
      <c r="M20" s="2"/>
      <c r="N20" s="11"/>
      <c r="O20" s="12"/>
      <c r="P20" s="15"/>
      <c r="Q20" s="1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</row>
    <row r="21" spans="1:103" ht="15.6" x14ac:dyDescent="0.3">
      <c r="A21" s="13" t="s">
        <v>2</v>
      </c>
      <c r="B21" s="5" t="s">
        <v>45</v>
      </c>
      <c r="C21" s="14" t="s">
        <v>84</v>
      </c>
      <c r="D21" s="7" t="s">
        <v>36</v>
      </c>
      <c r="E21" s="8" t="s">
        <v>34</v>
      </c>
      <c r="F21" s="8" t="s">
        <v>6</v>
      </c>
      <c r="G21" s="8"/>
      <c r="H21" s="10" t="s">
        <v>50</v>
      </c>
      <c r="I21" s="8" t="s">
        <v>40</v>
      </c>
      <c r="J21" s="2"/>
      <c r="K21" s="2"/>
      <c r="L21" s="2"/>
      <c r="M21" s="2"/>
      <c r="N21" s="11"/>
      <c r="O21" s="12"/>
      <c r="P21" s="15"/>
      <c r="Q21" s="1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</row>
    <row r="22" spans="1:103" ht="15.6" x14ac:dyDescent="0.3">
      <c r="A22" s="13" t="s">
        <v>2</v>
      </c>
      <c r="B22" s="5" t="s">
        <v>45</v>
      </c>
      <c r="C22" s="14" t="s">
        <v>84</v>
      </c>
      <c r="D22" s="7" t="s">
        <v>37</v>
      </c>
      <c r="E22" s="8" t="s">
        <v>34</v>
      </c>
      <c r="F22" s="8" t="s">
        <v>6</v>
      </c>
      <c r="G22" s="8"/>
      <c r="H22" s="10" t="s">
        <v>50</v>
      </c>
      <c r="I22" s="8" t="s">
        <v>40</v>
      </c>
      <c r="J22" s="2"/>
      <c r="K22" s="2"/>
      <c r="L22" s="2"/>
      <c r="M22" s="2"/>
      <c r="N22" s="11"/>
      <c r="O22" s="12"/>
      <c r="P22" s="15"/>
      <c r="Q22" s="1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</row>
    <row r="23" spans="1:103" ht="15.6" x14ac:dyDescent="0.3">
      <c r="A23" s="13" t="s">
        <v>2</v>
      </c>
      <c r="B23" s="5" t="s">
        <v>45</v>
      </c>
      <c r="C23" s="14" t="s">
        <v>84</v>
      </c>
      <c r="D23" s="7" t="s">
        <v>38</v>
      </c>
      <c r="E23" s="8" t="s">
        <v>34</v>
      </c>
      <c r="F23" s="8" t="s">
        <v>6</v>
      </c>
      <c r="G23" s="8"/>
      <c r="H23" s="10" t="s">
        <v>50</v>
      </c>
      <c r="I23" s="8" t="s">
        <v>40</v>
      </c>
      <c r="J23" s="2"/>
      <c r="K23" s="2"/>
      <c r="L23" s="2"/>
      <c r="M23" s="2"/>
      <c r="N23" s="11"/>
      <c r="O23" s="12"/>
      <c r="P23" s="15"/>
      <c r="Q23" s="1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</row>
    <row r="24" spans="1:103" ht="15.6" x14ac:dyDescent="0.3">
      <c r="A24" s="13" t="s">
        <v>2</v>
      </c>
      <c r="B24" s="5" t="s">
        <v>45</v>
      </c>
      <c r="C24" s="16" t="s">
        <v>85</v>
      </c>
      <c r="D24" s="7" t="s">
        <v>86</v>
      </c>
      <c r="E24" s="8" t="s">
        <v>7</v>
      </c>
      <c r="F24" s="8" t="s">
        <v>9</v>
      </c>
      <c r="G24" s="8" t="s">
        <v>6</v>
      </c>
      <c r="H24" s="10" t="s">
        <v>50</v>
      </c>
      <c r="I24" s="8" t="s">
        <v>49</v>
      </c>
      <c r="J24" s="2"/>
      <c r="K24" s="2"/>
      <c r="L24" s="2"/>
      <c r="M24" s="2"/>
      <c r="N24" s="11"/>
      <c r="O24" s="12"/>
      <c r="P24" s="15"/>
      <c r="Q24" s="1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</row>
    <row r="25" spans="1:103" ht="27.6" x14ac:dyDescent="0.3">
      <c r="A25" s="13" t="s">
        <v>2</v>
      </c>
      <c r="B25" s="5" t="s">
        <v>45</v>
      </c>
      <c r="C25" s="14" t="s">
        <v>87</v>
      </c>
      <c r="D25" s="7" t="s">
        <v>88</v>
      </c>
      <c r="E25" s="8" t="s">
        <v>11</v>
      </c>
      <c r="F25" s="8"/>
      <c r="G25" s="8"/>
      <c r="H25" s="10" t="s">
        <v>52</v>
      </c>
      <c r="I25" s="8" t="s">
        <v>22</v>
      </c>
      <c r="J25" s="2"/>
      <c r="K25" s="2"/>
      <c r="L25" s="2"/>
      <c r="M25" s="2"/>
      <c r="N25" s="11" t="s">
        <v>51</v>
      </c>
      <c r="O25" s="12">
        <f>O2-O3</f>
        <v>-11037410</v>
      </c>
      <c r="P25" s="15"/>
      <c r="Q25" s="12">
        <f>Q2-Q3</f>
        <v>-8332400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</row>
    <row r="26" spans="1:103" ht="27.6" x14ac:dyDescent="0.3">
      <c r="A26" s="13" t="s">
        <v>2</v>
      </c>
      <c r="B26" s="5" t="s">
        <v>45</v>
      </c>
      <c r="C26" s="14" t="s">
        <v>87</v>
      </c>
      <c r="D26" s="7" t="s">
        <v>89</v>
      </c>
      <c r="E26" s="8" t="s">
        <v>11</v>
      </c>
      <c r="F26" s="8"/>
      <c r="G26" s="8"/>
      <c r="H26" s="10" t="s">
        <v>52</v>
      </c>
      <c r="I26" s="8" t="s">
        <v>22</v>
      </c>
      <c r="J26" s="2"/>
      <c r="K26" s="2"/>
      <c r="L26" s="2"/>
      <c r="M26" s="2"/>
      <c r="N26" s="17"/>
      <c r="O26" s="17"/>
      <c r="P26" s="17"/>
      <c r="Q26" s="17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</row>
    <row r="27" spans="1:103" ht="27.6" x14ac:dyDescent="0.3">
      <c r="A27" s="13" t="s">
        <v>2</v>
      </c>
      <c r="B27" s="5" t="s">
        <v>45</v>
      </c>
      <c r="C27" s="14" t="s">
        <v>87</v>
      </c>
      <c r="D27" s="7" t="s">
        <v>54</v>
      </c>
      <c r="E27" s="8" t="s">
        <v>11</v>
      </c>
      <c r="F27" s="8"/>
      <c r="G27" s="8"/>
      <c r="H27" s="10" t="s">
        <v>52</v>
      </c>
      <c r="I27" s="8" t="s">
        <v>53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</row>
    <row r="28" spans="1:103" ht="27.6" x14ac:dyDescent="0.3">
      <c r="A28" s="13" t="s">
        <v>2</v>
      </c>
      <c r="B28" s="5" t="s">
        <v>45</v>
      </c>
      <c r="C28" s="14" t="s">
        <v>87</v>
      </c>
      <c r="D28" s="7" t="s">
        <v>90</v>
      </c>
      <c r="E28" s="8" t="s">
        <v>11</v>
      </c>
      <c r="F28" s="8"/>
      <c r="G28" s="8"/>
      <c r="H28" s="10" t="s">
        <v>52</v>
      </c>
      <c r="I28" s="8" t="s">
        <v>49</v>
      </c>
      <c r="J28" s="2"/>
      <c r="K28" s="2"/>
      <c r="L28" s="2"/>
      <c r="M28" s="2"/>
      <c r="N28" s="17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</row>
    <row r="29" spans="1:103" ht="15.6" x14ac:dyDescent="0.3">
      <c r="A29" s="13" t="s">
        <v>2</v>
      </c>
      <c r="B29" s="5" t="s">
        <v>45</v>
      </c>
      <c r="C29" s="18">
        <f>D29</f>
        <v>18792590</v>
      </c>
      <c r="D29" s="19">
        <f>4240000+2980000+889497+2186106+2800000+4868928+303059+75000*3+100000*3</f>
        <v>18792590</v>
      </c>
      <c r="E29" s="10" t="s">
        <v>46</v>
      </c>
      <c r="F29" s="8" t="s">
        <v>12</v>
      </c>
      <c r="G29" s="8" t="s">
        <v>11</v>
      </c>
      <c r="H29" s="10" t="s">
        <v>46</v>
      </c>
      <c r="I29" s="8" t="s">
        <v>49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</row>
    <row r="30" spans="1:103" ht="27.6" x14ac:dyDescent="0.3">
      <c r="A30" s="20" t="s">
        <v>55</v>
      </c>
      <c r="B30" s="21" t="s">
        <v>91</v>
      </c>
      <c r="C30" s="22" t="s">
        <v>92</v>
      </c>
      <c r="D30" s="3" t="s">
        <v>56</v>
      </c>
      <c r="E30" s="9" t="s">
        <v>82</v>
      </c>
      <c r="F30" s="9" t="s">
        <v>83</v>
      </c>
      <c r="G30" s="9" t="s">
        <v>8</v>
      </c>
      <c r="H30" s="23" t="s">
        <v>52</v>
      </c>
      <c r="I30" s="9" t="s">
        <v>22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</row>
    <row r="31" spans="1:103" ht="27.6" x14ac:dyDescent="0.3">
      <c r="A31" s="20" t="s">
        <v>55</v>
      </c>
      <c r="B31" s="21" t="s">
        <v>91</v>
      </c>
      <c r="C31" s="22" t="s">
        <v>92</v>
      </c>
      <c r="D31" s="3" t="s">
        <v>14</v>
      </c>
      <c r="E31" s="9" t="s">
        <v>82</v>
      </c>
      <c r="F31" s="9" t="s">
        <v>83</v>
      </c>
      <c r="G31" s="9" t="s">
        <v>8</v>
      </c>
      <c r="H31" s="23" t="s">
        <v>52</v>
      </c>
      <c r="I31" s="9" t="s">
        <v>22</v>
      </c>
      <c r="J31" s="2"/>
      <c r="K31" s="2"/>
      <c r="L31" s="2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</row>
    <row r="32" spans="1:103" ht="27.6" x14ac:dyDescent="0.3">
      <c r="A32" s="20" t="s">
        <v>55</v>
      </c>
      <c r="B32" s="21" t="s">
        <v>91</v>
      </c>
      <c r="C32" s="25" t="s">
        <v>93</v>
      </c>
      <c r="D32" s="3" t="s">
        <v>57</v>
      </c>
      <c r="E32" s="9" t="s">
        <v>11</v>
      </c>
      <c r="F32" s="9"/>
      <c r="G32" s="9"/>
      <c r="H32" s="23" t="s">
        <v>52</v>
      </c>
      <c r="I32" s="9" t="s">
        <v>53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</row>
    <row r="33" spans="1:103" ht="27.6" x14ac:dyDescent="0.3">
      <c r="A33" s="20" t="s">
        <v>55</v>
      </c>
      <c r="B33" s="21" t="s">
        <v>91</v>
      </c>
      <c r="C33" s="25" t="s">
        <v>93</v>
      </c>
      <c r="D33" s="3" t="s">
        <v>58</v>
      </c>
      <c r="E33" s="9" t="s">
        <v>11</v>
      </c>
      <c r="F33" s="9"/>
      <c r="G33" s="9"/>
      <c r="H33" s="23" t="s">
        <v>52</v>
      </c>
      <c r="I33" s="9" t="s">
        <v>53</v>
      </c>
      <c r="J33" s="2"/>
      <c r="K33" s="2"/>
      <c r="L33" s="2"/>
      <c r="M33" s="2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</row>
    <row r="34" spans="1:103" ht="27.6" x14ac:dyDescent="0.3">
      <c r="A34" s="20" t="s">
        <v>55</v>
      </c>
      <c r="B34" s="21" t="s">
        <v>91</v>
      </c>
      <c r="C34" s="25" t="s">
        <v>93</v>
      </c>
      <c r="D34" s="3" t="s">
        <v>59</v>
      </c>
      <c r="E34" s="9" t="s">
        <v>11</v>
      </c>
      <c r="F34" s="9"/>
      <c r="G34" s="9"/>
      <c r="H34" s="23" t="s">
        <v>52</v>
      </c>
      <c r="I34" s="9" t="s">
        <v>49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</row>
    <row r="35" spans="1:103" ht="27.6" x14ac:dyDescent="0.3">
      <c r="A35" s="20" t="s">
        <v>55</v>
      </c>
      <c r="B35" s="21" t="s">
        <v>91</v>
      </c>
      <c r="C35" s="25" t="s">
        <v>93</v>
      </c>
      <c r="D35" s="3" t="s">
        <v>60</v>
      </c>
      <c r="E35" s="9" t="s">
        <v>11</v>
      </c>
      <c r="F35" s="9"/>
      <c r="G35" s="9"/>
      <c r="H35" s="23" t="s">
        <v>52</v>
      </c>
      <c r="I35" s="9" t="s">
        <v>53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</row>
    <row r="36" spans="1:103" ht="27.6" x14ac:dyDescent="0.3">
      <c r="A36" s="20" t="s">
        <v>55</v>
      </c>
      <c r="B36" s="21" t="s">
        <v>91</v>
      </c>
      <c r="C36" s="25" t="s">
        <v>94</v>
      </c>
      <c r="D36" s="3" t="s">
        <v>95</v>
      </c>
      <c r="E36" s="9" t="s">
        <v>8</v>
      </c>
      <c r="F36" s="9"/>
      <c r="G36" s="9"/>
      <c r="H36" s="23" t="s">
        <v>52</v>
      </c>
      <c r="I36" s="9" t="s">
        <v>22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</row>
    <row r="37" spans="1:103" ht="27.6" x14ac:dyDescent="0.3">
      <c r="A37" s="20" t="s">
        <v>55</v>
      </c>
      <c r="B37" s="21" t="s">
        <v>91</v>
      </c>
      <c r="C37" s="25" t="s">
        <v>94</v>
      </c>
      <c r="D37" s="27" t="s">
        <v>78</v>
      </c>
      <c r="E37" s="9" t="s">
        <v>8</v>
      </c>
      <c r="F37" s="9" t="s">
        <v>6</v>
      </c>
      <c r="G37" s="8" t="s">
        <v>10</v>
      </c>
      <c r="H37" s="23" t="s">
        <v>52</v>
      </c>
      <c r="I37" s="9" t="s">
        <v>40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</row>
    <row r="38" spans="1:103" ht="27.6" x14ac:dyDescent="0.3">
      <c r="A38" s="20" t="s">
        <v>55</v>
      </c>
      <c r="B38" s="21" t="s">
        <v>91</v>
      </c>
      <c r="C38" s="25" t="s">
        <v>94</v>
      </c>
      <c r="D38" s="27" t="s">
        <v>79</v>
      </c>
      <c r="E38" s="9" t="s">
        <v>8</v>
      </c>
      <c r="F38" s="9" t="s">
        <v>6</v>
      </c>
      <c r="G38" s="8" t="s">
        <v>10</v>
      </c>
      <c r="H38" s="23" t="s">
        <v>52</v>
      </c>
      <c r="I38" s="9" t="s">
        <v>40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</row>
    <row r="39" spans="1:103" ht="27.6" x14ac:dyDescent="0.3">
      <c r="A39" s="20" t="s">
        <v>55</v>
      </c>
      <c r="B39" s="21" t="s">
        <v>91</v>
      </c>
      <c r="C39" s="25" t="s">
        <v>94</v>
      </c>
      <c r="D39" s="27" t="s">
        <v>29</v>
      </c>
      <c r="E39" s="9" t="s">
        <v>8</v>
      </c>
      <c r="F39" s="9"/>
      <c r="G39" s="9"/>
      <c r="H39" s="23" t="s">
        <v>52</v>
      </c>
      <c r="I39" s="9" t="s">
        <v>40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</row>
    <row r="40" spans="1:103" ht="27.6" x14ac:dyDescent="0.3">
      <c r="A40" s="20" t="s">
        <v>55</v>
      </c>
      <c r="B40" s="21" t="s">
        <v>91</v>
      </c>
      <c r="C40" s="25" t="s">
        <v>94</v>
      </c>
      <c r="D40" s="27" t="s">
        <v>80</v>
      </c>
      <c r="E40" s="9" t="s">
        <v>8</v>
      </c>
      <c r="F40" s="9"/>
      <c r="G40" s="9"/>
      <c r="H40" s="23" t="s">
        <v>52</v>
      </c>
      <c r="I40" s="9" t="s">
        <v>40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</row>
    <row r="41" spans="1:103" ht="27.6" x14ac:dyDescent="0.3">
      <c r="A41" s="20" t="s">
        <v>55</v>
      </c>
      <c r="B41" s="21" t="s">
        <v>91</v>
      </c>
      <c r="C41" s="25" t="s">
        <v>94</v>
      </c>
      <c r="D41" s="27" t="s">
        <v>30</v>
      </c>
      <c r="E41" s="9" t="s">
        <v>8</v>
      </c>
      <c r="F41" s="9" t="s">
        <v>6</v>
      </c>
      <c r="G41" s="9"/>
      <c r="H41" s="23" t="s">
        <v>52</v>
      </c>
      <c r="I41" s="9" t="s">
        <v>40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</row>
    <row r="42" spans="1:103" ht="27.6" x14ac:dyDescent="0.3">
      <c r="A42" s="20" t="s">
        <v>55</v>
      </c>
      <c r="B42" s="21" t="s">
        <v>91</v>
      </c>
      <c r="C42" s="25" t="s">
        <v>94</v>
      </c>
      <c r="D42" s="27" t="s">
        <v>31</v>
      </c>
      <c r="E42" s="9" t="s">
        <v>8</v>
      </c>
      <c r="F42" s="9"/>
      <c r="G42" s="9"/>
      <c r="H42" s="23" t="s">
        <v>52</v>
      </c>
      <c r="I42" s="9" t="s">
        <v>40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</row>
    <row r="43" spans="1:103" ht="27.6" x14ac:dyDescent="0.3">
      <c r="A43" s="20" t="s">
        <v>55</v>
      </c>
      <c r="B43" s="21" t="s">
        <v>91</v>
      </c>
      <c r="C43" s="25" t="s">
        <v>94</v>
      </c>
      <c r="D43" s="27" t="s">
        <v>81</v>
      </c>
      <c r="E43" s="9" t="s">
        <v>8</v>
      </c>
      <c r="F43" s="9"/>
      <c r="G43" s="9"/>
      <c r="H43" s="23" t="s">
        <v>52</v>
      </c>
      <c r="I43" s="9" t="s">
        <v>40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</row>
    <row r="44" spans="1:103" ht="27.6" x14ac:dyDescent="0.3">
      <c r="A44" s="20" t="s">
        <v>55</v>
      </c>
      <c r="B44" s="21" t="s">
        <v>91</v>
      </c>
      <c r="C44" s="25" t="s">
        <v>94</v>
      </c>
      <c r="D44" s="27" t="s">
        <v>32</v>
      </c>
      <c r="E44" s="9" t="s">
        <v>8</v>
      </c>
      <c r="F44" s="9" t="s">
        <v>82</v>
      </c>
      <c r="G44" s="9" t="s">
        <v>83</v>
      </c>
      <c r="H44" s="23" t="s">
        <v>52</v>
      </c>
      <c r="I44" s="9" t="s">
        <v>40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</row>
    <row r="45" spans="1:103" ht="27.6" x14ac:dyDescent="0.3">
      <c r="A45" s="20" t="s">
        <v>55</v>
      </c>
      <c r="B45" s="21" t="s">
        <v>91</v>
      </c>
      <c r="C45" s="25" t="s">
        <v>94</v>
      </c>
      <c r="D45" s="27" t="s">
        <v>33</v>
      </c>
      <c r="E45" s="9" t="s">
        <v>8</v>
      </c>
      <c r="F45" s="9" t="s">
        <v>82</v>
      </c>
      <c r="G45" s="9" t="s">
        <v>83</v>
      </c>
      <c r="H45" s="23" t="s">
        <v>52</v>
      </c>
      <c r="I45" s="9" t="s">
        <v>40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</row>
    <row r="46" spans="1:103" ht="27.6" x14ac:dyDescent="0.3">
      <c r="A46" s="20" t="s">
        <v>55</v>
      </c>
      <c r="B46" s="21" t="s">
        <v>91</v>
      </c>
      <c r="C46" s="22" t="s">
        <v>84</v>
      </c>
      <c r="D46" s="3" t="s">
        <v>35</v>
      </c>
      <c r="E46" s="9" t="s">
        <v>96</v>
      </c>
      <c r="F46" s="9" t="s">
        <v>6</v>
      </c>
      <c r="G46" s="9"/>
      <c r="H46" s="23" t="s">
        <v>52</v>
      </c>
      <c r="I46" s="9" t="s">
        <v>40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</row>
    <row r="47" spans="1:103" ht="27.6" x14ac:dyDescent="0.3">
      <c r="A47" s="20" t="s">
        <v>55</v>
      </c>
      <c r="B47" s="21" t="s">
        <v>91</v>
      </c>
      <c r="C47" s="22" t="s">
        <v>84</v>
      </c>
      <c r="D47" s="3" t="s">
        <v>36</v>
      </c>
      <c r="E47" s="9" t="s">
        <v>96</v>
      </c>
      <c r="F47" s="9" t="s">
        <v>6</v>
      </c>
      <c r="G47" s="9"/>
      <c r="H47" s="23" t="s">
        <v>52</v>
      </c>
      <c r="I47" s="9" t="s">
        <v>40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</row>
    <row r="48" spans="1:103" ht="27.6" x14ac:dyDescent="0.3">
      <c r="A48" s="20" t="s">
        <v>55</v>
      </c>
      <c r="B48" s="21" t="s">
        <v>91</v>
      </c>
      <c r="C48" s="22" t="s">
        <v>84</v>
      </c>
      <c r="D48" s="3" t="s">
        <v>37</v>
      </c>
      <c r="E48" s="9" t="s">
        <v>96</v>
      </c>
      <c r="F48" s="9" t="s">
        <v>6</v>
      </c>
      <c r="G48" s="9"/>
      <c r="H48" s="23" t="s">
        <v>52</v>
      </c>
      <c r="I48" s="9" t="s">
        <v>40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</row>
    <row r="49" spans="1:103" ht="27.6" x14ac:dyDescent="0.3">
      <c r="A49" s="20" t="s">
        <v>55</v>
      </c>
      <c r="B49" s="21" t="s">
        <v>91</v>
      </c>
      <c r="C49" s="22" t="s">
        <v>84</v>
      </c>
      <c r="D49" s="3" t="s">
        <v>38</v>
      </c>
      <c r="E49" s="9" t="s">
        <v>96</v>
      </c>
      <c r="F49" s="9" t="s">
        <v>6</v>
      </c>
      <c r="G49" s="9"/>
      <c r="H49" s="23" t="s">
        <v>52</v>
      </c>
      <c r="I49" s="9" t="s">
        <v>40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</row>
    <row r="50" spans="1:103" ht="15.6" x14ac:dyDescent="0.3">
      <c r="A50" s="20" t="s">
        <v>55</v>
      </c>
      <c r="B50" s="21" t="s">
        <v>97</v>
      </c>
      <c r="C50" s="28">
        <f t="shared" ref="C50:C52" si="1">2750000*3*0.2</f>
        <v>1650000</v>
      </c>
      <c r="D50" s="29">
        <f>C50</f>
        <v>1650000</v>
      </c>
      <c r="E50" s="23" t="s">
        <v>46</v>
      </c>
      <c r="F50" s="9"/>
      <c r="G50" s="9"/>
      <c r="H50" s="23" t="s">
        <v>46</v>
      </c>
      <c r="I50" s="9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</row>
    <row r="51" spans="1:103" ht="15.6" x14ac:dyDescent="0.3">
      <c r="A51" s="20" t="s">
        <v>55</v>
      </c>
      <c r="B51" s="21" t="s">
        <v>97</v>
      </c>
      <c r="C51" s="28">
        <f t="shared" si="1"/>
        <v>1650000</v>
      </c>
      <c r="D51" s="29" t="s">
        <v>98</v>
      </c>
      <c r="E51" s="9" t="s">
        <v>15</v>
      </c>
      <c r="F51" s="9"/>
      <c r="G51" s="9"/>
      <c r="H51" s="23" t="s">
        <v>46</v>
      </c>
      <c r="I51" s="9" t="s">
        <v>49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</row>
    <row r="52" spans="1:103" ht="15.6" x14ac:dyDescent="0.3">
      <c r="A52" s="20" t="s">
        <v>55</v>
      </c>
      <c r="B52" s="21" t="s">
        <v>97</v>
      </c>
      <c r="C52" s="28">
        <f t="shared" si="1"/>
        <v>1650000</v>
      </c>
      <c r="D52" s="3" t="s">
        <v>99</v>
      </c>
      <c r="E52" s="9" t="s">
        <v>16</v>
      </c>
      <c r="F52" s="9" t="s">
        <v>18</v>
      </c>
      <c r="G52" s="9"/>
      <c r="H52" s="23" t="s">
        <v>46</v>
      </c>
      <c r="I52" s="9" t="s">
        <v>49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</row>
    <row r="53" spans="1:103" ht="27.6" x14ac:dyDescent="0.3">
      <c r="A53" s="13" t="s">
        <v>27</v>
      </c>
      <c r="B53" s="14" t="s">
        <v>100</v>
      </c>
      <c r="C53" s="30" t="s">
        <v>101</v>
      </c>
      <c r="D53" s="7" t="s">
        <v>61</v>
      </c>
      <c r="E53" s="8" t="s">
        <v>11</v>
      </c>
      <c r="F53" s="8"/>
      <c r="G53" s="8"/>
      <c r="H53" s="10" t="s">
        <v>52</v>
      </c>
      <c r="I53" s="8" t="s">
        <v>22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</row>
    <row r="54" spans="1:103" ht="27.6" x14ac:dyDescent="0.3">
      <c r="A54" s="13" t="s">
        <v>27</v>
      </c>
      <c r="B54" s="14" t="s">
        <v>100</v>
      </c>
      <c r="C54" s="30" t="s">
        <v>101</v>
      </c>
      <c r="D54" s="7" t="s">
        <v>102</v>
      </c>
      <c r="E54" s="8" t="s">
        <v>11</v>
      </c>
      <c r="F54" s="8"/>
      <c r="G54" s="8"/>
      <c r="H54" s="10" t="s">
        <v>52</v>
      </c>
      <c r="I54" s="8" t="s">
        <v>53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</row>
    <row r="55" spans="1:103" ht="27.6" x14ac:dyDescent="0.3">
      <c r="A55" s="13" t="s">
        <v>27</v>
      </c>
      <c r="B55" s="14" t="s">
        <v>100</v>
      </c>
      <c r="C55" s="30" t="s">
        <v>103</v>
      </c>
      <c r="D55" s="7" t="s">
        <v>62</v>
      </c>
      <c r="E55" s="10" t="s">
        <v>52</v>
      </c>
      <c r="F55" s="8"/>
      <c r="G55" s="8"/>
      <c r="H55" s="10" t="s">
        <v>52</v>
      </c>
      <c r="I55" s="8" t="s">
        <v>22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</row>
    <row r="56" spans="1:103" ht="27.6" x14ac:dyDescent="0.3">
      <c r="A56" s="13" t="s">
        <v>27</v>
      </c>
      <c r="B56" s="14" t="s">
        <v>100</v>
      </c>
      <c r="C56" s="30" t="s">
        <v>103</v>
      </c>
      <c r="D56" s="7" t="s">
        <v>64</v>
      </c>
      <c r="E56" s="8" t="s">
        <v>82</v>
      </c>
      <c r="F56" s="8"/>
      <c r="G56" s="8"/>
      <c r="H56" s="10" t="s">
        <v>52</v>
      </c>
      <c r="I56" s="8" t="s">
        <v>22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</row>
    <row r="57" spans="1:103" ht="27.6" x14ac:dyDescent="0.3">
      <c r="A57" s="13" t="s">
        <v>27</v>
      </c>
      <c r="B57" s="14" t="s">
        <v>100</v>
      </c>
      <c r="C57" s="30" t="s">
        <v>103</v>
      </c>
      <c r="D57" s="7" t="s">
        <v>63</v>
      </c>
      <c r="E57" s="8" t="s">
        <v>8</v>
      </c>
      <c r="F57" s="8"/>
      <c r="G57" s="8"/>
      <c r="H57" s="10" t="s">
        <v>52</v>
      </c>
      <c r="I57" s="8" t="s">
        <v>22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</row>
    <row r="58" spans="1:103" ht="27.6" x14ac:dyDescent="0.3">
      <c r="A58" s="13" t="s">
        <v>27</v>
      </c>
      <c r="B58" s="14" t="s">
        <v>100</v>
      </c>
      <c r="C58" s="31">
        <f t="shared" ref="C58:C60" si="2">5800000*2*0.2</f>
        <v>2320000</v>
      </c>
      <c r="D58" s="19">
        <f>C58</f>
        <v>2320000</v>
      </c>
      <c r="E58" s="10" t="s">
        <v>46</v>
      </c>
      <c r="F58" s="8"/>
      <c r="G58" s="8"/>
      <c r="H58" s="10" t="s">
        <v>46</v>
      </c>
      <c r="I58" s="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</row>
    <row r="59" spans="1:103" ht="27.6" x14ac:dyDescent="0.3">
      <c r="A59" s="13" t="s">
        <v>27</v>
      </c>
      <c r="B59" s="14" t="s">
        <v>100</v>
      </c>
      <c r="C59" s="31">
        <f t="shared" si="2"/>
        <v>2320000</v>
      </c>
      <c r="D59" s="7" t="s">
        <v>104</v>
      </c>
      <c r="E59" s="8" t="s">
        <v>15</v>
      </c>
      <c r="F59" s="8"/>
      <c r="G59" s="8"/>
      <c r="H59" s="10" t="s">
        <v>46</v>
      </c>
      <c r="I59" s="8" t="s">
        <v>49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</row>
    <row r="60" spans="1:103" ht="27.6" x14ac:dyDescent="0.3">
      <c r="A60" s="13" t="s">
        <v>27</v>
      </c>
      <c r="B60" s="14" t="s">
        <v>100</v>
      </c>
      <c r="C60" s="31">
        <f t="shared" si="2"/>
        <v>2320000</v>
      </c>
      <c r="D60" s="7" t="s">
        <v>105</v>
      </c>
      <c r="E60" s="8" t="s">
        <v>16</v>
      </c>
      <c r="F60" s="8"/>
      <c r="G60" s="8"/>
      <c r="H60" s="10" t="s">
        <v>46</v>
      </c>
      <c r="I60" s="8" t="s">
        <v>49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</row>
    <row r="61" spans="1:103" ht="41.4" x14ac:dyDescent="0.3">
      <c r="A61" s="20" t="s">
        <v>4</v>
      </c>
      <c r="B61" s="22" t="s">
        <v>106</v>
      </c>
      <c r="C61" s="22" t="s">
        <v>107</v>
      </c>
      <c r="D61" s="3" t="s">
        <v>66</v>
      </c>
      <c r="E61" s="9" t="s">
        <v>11</v>
      </c>
      <c r="F61" s="9"/>
      <c r="G61" s="9"/>
      <c r="H61" s="23" t="s">
        <v>52</v>
      </c>
      <c r="I61" s="9" t="s">
        <v>22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</row>
    <row r="62" spans="1:103" ht="41.4" x14ac:dyDescent="0.3">
      <c r="A62" s="20" t="s">
        <v>4</v>
      </c>
      <c r="B62" s="22" t="s">
        <v>106</v>
      </c>
      <c r="C62" s="22" t="s">
        <v>107</v>
      </c>
      <c r="D62" s="3" t="s">
        <v>65</v>
      </c>
      <c r="E62" s="9" t="s">
        <v>11</v>
      </c>
      <c r="F62" s="9"/>
      <c r="G62" s="9"/>
      <c r="H62" s="23" t="s">
        <v>50</v>
      </c>
      <c r="I62" s="9" t="s">
        <v>22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</row>
    <row r="63" spans="1:103" ht="41.4" x14ac:dyDescent="0.3">
      <c r="A63" s="20" t="s">
        <v>4</v>
      </c>
      <c r="B63" s="22" t="s">
        <v>106</v>
      </c>
      <c r="C63" s="22" t="s">
        <v>107</v>
      </c>
      <c r="D63" s="3" t="s">
        <v>67</v>
      </c>
      <c r="E63" s="9" t="s">
        <v>11</v>
      </c>
      <c r="F63" s="9" t="s">
        <v>7</v>
      </c>
      <c r="G63" s="23" t="s">
        <v>50</v>
      </c>
      <c r="H63" s="23" t="s">
        <v>52</v>
      </c>
      <c r="I63" s="9" t="s">
        <v>53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</row>
    <row r="64" spans="1:103" ht="41.4" x14ac:dyDescent="0.3">
      <c r="A64" s="20" t="s">
        <v>4</v>
      </c>
      <c r="B64" s="22" t="s">
        <v>106</v>
      </c>
      <c r="C64" s="22" t="s">
        <v>107</v>
      </c>
      <c r="D64" s="3" t="s">
        <v>68</v>
      </c>
      <c r="E64" s="9" t="s">
        <v>11</v>
      </c>
      <c r="F64" s="9" t="s">
        <v>7</v>
      </c>
      <c r="G64" s="23" t="s">
        <v>50</v>
      </c>
      <c r="H64" s="23" t="s">
        <v>52</v>
      </c>
      <c r="I64" s="9" t="s">
        <v>53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</row>
    <row r="65" spans="1:103" ht="27.6" x14ac:dyDescent="0.3">
      <c r="A65" s="20" t="s">
        <v>4</v>
      </c>
      <c r="B65" s="22" t="s">
        <v>106</v>
      </c>
      <c r="C65" s="22" t="s">
        <v>108</v>
      </c>
      <c r="D65" s="3" t="s">
        <v>109</v>
      </c>
      <c r="E65" s="9" t="s">
        <v>7</v>
      </c>
      <c r="F65" s="9" t="s">
        <v>82</v>
      </c>
      <c r="G65" s="9" t="s">
        <v>83</v>
      </c>
      <c r="H65" s="23" t="s">
        <v>50</v>
      </c>
      <c r="I65" s="9" t="s">
        <v>22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</row>
    <row r="66" spans="1:103" ht="27.6" x14ac:dyDescent="0.3">
      <c r="A66" s="20" t="s">
        <v>4</v>
      </c>
      <c r="B66" s="22" t="s">
        <v>106</v>
      </c>
      <c r="C66" s="22" t="s">
        <v>108</v>
      </c>
      <c r="D66" s="3" t="s">
        <v>23</v>
      </c>
      <c r="E66" s="9" t="s">
        <v>7</v>
      </c>
      <c r="F66" s="9" t="s">
        <v>82</v>
      </c>
      <c r="G66" s="9" t="s">
        <v>83</v>
      </c>
      <c r="H66" s="23" t="s">
        <v>50</v>
      </c>
      <c r="I66" s="9" t="s">
        <v>53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</row>
    <row r="67" spans="1:103" ht="27.6" x14ac:dyDescent="0.3">
      <c r="A67" s="20" t="s">
        <v>4</v>
      </c>
      <c r="B67" s="22" t="s">
        <v>106</v>
      </c>
      <c r="C67" s="22" t="s">
        <v>108</v>
      </c>
      <c r="D67" s="3" t="s">
        <v>110</v>
      </c>
      <c r="E67" s="9" t="s">
        <v>82</v>
      </c>
      <c r="F67" s="9" t="s">
        <v>83</v>
      </c>
      <c r="G67" s="9" t="s">
        <v>7</v>
      </c>
      <c r="H67" s="23" t="s">
        <v>50</v>
      </c>
      <c r="I67" s="9" t="s">
        <v>49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</row>
    <row r="68" spans="1:103" ht="27.6" x14ac:dyDescent="0.3">
      <c r="A68" s="20" t="s">
        <v>4</v>
      </c>
      <c r="B68" s="22" t="s">
        <v>106</v>
      </c>
      <c r="C68" s="22" t="s">
        <v>108</v>
      </c>
      <c r="D68" s="3" t="s">
        <v>111</v>
      </c>
      <c r="E68" s="9" t="s">
        <v>82</v>
      </c>
      <c r="F68" s="9" t="s">
        <v>83</v>
      </c>
      <c r="G68" s="9" t="s">
        <v>7</v>
      </c>
      <c r="H68" s="23" t="s">
        <v>50</v>
      </c>
      <c r="I68" s="9" t="s">
        <v>49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</row>
    <row r="69" spans="1:103" ht="27.6" x14ac:dyDescent="0.3">
      <c r="A69" s="20" t="s">
        <v>4</v>
      </c>
      <c r="B69" s="22" t="s">
        <v>106</v>
      </c>
      <c r="C69" s="22" t="s">
        <v>108</v>
      </c>
      <c r="D69" s="3" t="s">
        <v>26</v>
      </c>
      <c r="E69" s="9" t="s">
        <v>7</v>
      </c>
      <c r="F69" s="9"/>
      <c r="G69" s="9"/>
      <c r="H69" s="23" t="s">
        <v>50</v>
      </c>
      <c r="I69" s="9" t="s">
        <v>49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</row>
    <row r="70" spans="1:103" ht="15.6" x14ac:dyDescent="0.3">
      <c r="A70" s="20" t="s">
        <v>4</v>
      </c>
      <c r="B70" s="22" t="s">
        <v>112</v>
      </c>
      <c r="C70" s="28">
        <v>4700000</v>
      </c>
      <c r="D70" s="29">
        <f>C70</f>
        <v>4700000</v>
      </c>
      <c r="E70" s="23" t="s">
        <v>46</v>
      </c>
      <c r="F70" s="9"/>
      <c r="G70" s="9"/>
      <c r="H70" s="23" t="s">
        <v>46</v>
      </c>
      <c r="I70" s="9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</row>
    <row r="71" spans="1:103" ht="15.6" x14ac:dyDescent="0.3">
      <c r="A71" s="20" t="s">
        <v>4</v>
      </c>
      <c r="B71" s="22" t="s">
        <v>112</v>
      </c>
      <c r="C71" s="28">
        <v>4700000</v>
      </c>
      <c r="D71" s="3" t="s">
        <v>113</v>
      </c>
      <c r="E71" s="9" t="s">
        <v>15</v>
      </c>
      <c r="F71" s="9"/>
      <c r="G71" s="9"/>
      <c r="H71" s="23" t="s">
        <v>46</v>
      </c>
      <c r="I71" s="9" t="s">
        <v>49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</row>
    <row r="72" spans="1:103" ht="15.6" x14ac:dyDescent="0.3">
      <c r="A72" s="20" t="s">
        <v>4</v>
      </c>
      <c r="B72" s="22" t="s">
        <v>112</v>
      </c>
      <c r="C72" s="28">
        <v>4700000</v>
      </c>
      <c r="D72" s="3" t="s">
        <v>114</v>
      </c>
      <c r="E72" s="9" t="s">
        <v>16</v>
      </c>
      <c r="F72" s="9"/>
      <c r="G72" s="9"/>
      <c r="H72" s="23" t="s">
        <v>46</v>
      </c>
      <c r="I72" s="9" t="s">
        <v>49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</row>
    <row r="73" spans="1:103" ht="15.6" x14ac:dyDescent="0.3">
      <c r="A73" s="20" t="s">
        <v>4</v>
      </c>
      <c r="B73" s="22" t="s">
        <v>112</v>
      </c>
      <c r="C73" s="28">
        <v>4700000</v>
      </c>
      <c r="D73" s="3" t="s">
        <v>115</v>
      </c>
      <c r="E73" s="9" t="s">
        <v>18</v>
      </c>
      <c r="F73" s="9" t="s">
        <v>16</v>
      </c>
      <c r="G73" s="9"/>
      <c r="H73" s="23" t="s">
        <v>46</v>
      </c>
      <c r="I73" s="9" t="s">
        <v>53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</row>
    <row r="74" spans="1:103" ht="15.6" x14ac:dyDescent="0.3">
      <c r="A74" s="20" t="s">
        <v>4</v>
      </c>
      <c r="B74" s="22" t="s">
        <v>112</v>
      </c>
      <c r="C74" s="32" t="s">
        <v>116</v>
      </c>
      <c r="D74" s="3" t="s">
        <v>117</v>
      </c>
      <c r="E74" s="9" t="s">
        <v>11</v>
      </c>
      <c r="F74" s="9"/>
      <c r="G74" s="9"/>
      <c r="H74" s="23" t="s">
        <v>46</v>
      </c>
      <c r="I74" s="9" t="s">
        <v>49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</row>
    <row r="75" spans="1:103" ht="15.6" x14ac:dyDescent="0.3">
      <c r="A75" s="20" t="s">
        <v>4</v>
      </c>
      <c r="B75" s="22" t="s">
        <v>112</v>
      </c>
      <c r="C75" s="32" t="s">
        <v>116</v>
      </c>
      <c r="D75" s="3" t="s">
        <v>118</v>
      </c>
      <c r="E75" s="23" t="s">
        <v>46</v>
      </c>
      <c r="F75" s="9"/>
      <c r="G75" s="9"/>
      <c r="H75" s="23" t="s">
        <v>46</v>
      </c>
      <c r="I75" s="9" t="s">
        <v>49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</row>
    <row r="76" spans="1:103" ht="27.6" x14ac:dyDescent="0.3">
      <c r="A76" s="13" t="s">
        <v>21</v>
      </c>
      <c r="B76" s="14" t="s">
        <v>119</v>
      </c>
      <c r="C76" s="14" t="s">
        <v>120</v>
      </c>
      <c r="D76" s="7" t="s">
        <v>56</v>
      </c>
      <c r="E76" s="8" t="s">
        <v>82</v>
      </c>
      <c r="F76" s="8" t="s">
        <v>83</v>
      </c>
      <c r="G76" s="8" t="s">
        <v>9</v>
      </c>
      <c r="H76" s="10" t="s">
        <v>50</v>
      </c>
      <c r="I76" s="8" t="s">
        <v>53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</row>
    <row r="77" spans="1:103" ht="27.6" x14ac:dyDescent="0.3">
      <c r="A77" s="13" t="s">
        <v>21</v>
      </c>
      <c r="B77" s="14" t="s">
        <v>119</v>
      </c>
      <c r="C77" s="14" t="s">
        <v>120</v>
      </c>
      <c r="D77" s="7" t="s">
        <v>14</v>
      </c>
      <c r="E77" s="8" t="s">
        <v>82</v>
      </c>
      <c r="F77" s="8" t="s">
        <v>83</v>
      </c>
      <c r="G77" s="8" t="s">
        <v>9</v>
      </c>
      <c r="H77" s="10" t="s">
        <v>50</v>
      </c>
      <c r="I77" s="8" t="s">
        <v>53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</row>
    <row r="78" spans="1:103" ht="27.6" x14ac:dyDescent="0.3">
      <c r="A78" s="13" t="s">
        <v>21</v>
      </c>
      <c r="B78" s="14" t="s">
        <v>119</v>
      </c>
      <c r="C78" s="14" t="s">
        <v>120</v>
      </c>
      <c r="D78" s="7" t="s">
        <v>69</v>
      </c>
      <c r="E78" s="10" t="s">
        <v>50</v>
      </c>
      <c r="F78" s="8"/>
      <c r="G78" s="8"/>
      <c r="H78" s="10" t="s">
        <v>50</v>
      </c>
      <c r="I78" s="8" t="s">
        <v>49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</row>
    <row r="79" spans="1:103" ht="15.6" x14ac:dyDescent="0.3">
      <c r="A79" s="20" t="s">
        <v>3</v>
      </c>
      <c r="B79" s="25" t="s">
        <v>121</v>
      </c>
      <c r="C79" s="25" t="s">
        <v>122</v>
      </c>
      <c r="D79" s="3" t="s">
        <v>66</v>
      </c>
      <c r="E79" s="23" t="s">
        <v>50</v>
      </c>
      <c r="F79" s="9" t="s">
        <v>123</v>
      </c>
      <c r="G79" s="9"/>
      <c r="H79" s="23" t="s">
        <v>50</v>
      </c>
      <c r="I79" s="9" t="s">
        <v>22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</row>
    <row r="80" spans="1:103" ht="15.6" x14ac:dyDescent="0.3">
      <c r="A80" s="20" t="s">
        <v>3</v>
      </c>
      <c r="B80" s="25" t="s">
        <v>121</v>
      </c>
      <c r="C80" s="25" t="s">
        <v>122</v>
      </c>
      <c r="D80" s="3" t="s">
        <v>68</v>
      </c>
      <c r="E80" s="23" t="s">
        <v>50</v>
      </c>
      <c r="F80" s="9" t="s">
        <v>123</v>
      </c>
      <c r="G80" s="9"/>
      <c r="H80" s="23" t="s">
        <v>50</v>
      </c>
      <c r="I80" s="9" t="s">
        <v>53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</row>
    <row r="81" spans="1:103" ht="15.6" x14ac:dyDescent="0.3">
      <c r="A81" s="20" t="s">
        <v>3</v>
      </c>
      <c r="B81" s="25" t="s">
        <v>121</v>
      </c>
      <c r="C81" s="25" t="s">
        <v>122</v>
      </c>
      <c r="D81" s="3" t="s">
        <v>124</v>
      </c>
      <c r="E81" s="9" t="s">
        <v>11</v>
      </c>
      <c r="F81" s="9"/>
      <c r="G81" s="9"/>
      <c r="H81" s="23" t="s">
        <v>52</v>
      </c>
      <c r="I81" s="9" t="s">
        <v>53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</row>
    <row r="82" spans="1:103" ht="15.6" x14ac:dyDescent="0.3">
      <c r="A82" s="20" t="s">
        <v>3</v>
      </c>
      <c r="B82" s="25" t="s">
        <v>121</v>
      </c>
      <c r="C82" s="33" t="s">
        <v>25</v>
      </c>
      <c r="D82" s="3" t="s">
        <v>125</v>
      </c>
      <c r="E82" s="9" t="s">
        <v>11</v>
      </c>
      <c r="F82" s="9" t="s">
        <v>9</v>
      </c>
      <c r="G82" s="9"/>
      <c r="H82" s="23" t="s">
        <v>52</v>
      </c>
      <c r="I82" s="9" t="s">
        <v>49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</row>
    <row r="83" spans="1:103" ht="25.5" customHeight="1" x14ac:dyDescent="0.3">
      <c r="A83" s="20" t="s">
        <v>3</v>
      </c>
      <c r="B83" s="25" t="s">
        <v>121</v>
      </c>
      <c r="C83" s="22" t="s">
        <v>103</v>
      </c>
      <c r="D83" s="3" t="s">
        <v>62</v>
      </c>
      <c r="E83" s="23" t="s">
        <v>50</v>
      </c>
      <c r="F83" s="23" t="s">
        <v>46</v>
      </c>
      <c r="G83" s="23" t="s">
        <v>52</v>
      </c>
      <c r="H83" s="23" t="s">
        <v>50</v>
      </c>
      <c r="I83" s="9" t="s">
        <v>49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</row>
    <row r="84" spans="1:103" ht="27.6" x14ac:dyDescent="0.3">
      <c r="A84" s="20" t="s">
        <v>3</v>
      </c>
      <c r="B84" s="25" t="s">
        <v>121</v>
      </c>
      <c r="C84" s="22" t="s">
        <v>103</v>
      </c>
      <c r="D84" s="3" t="s">
        <v>126</v>
      </c>
      <c r="E84" s="9" t="s">
        <v>82</v>
      </c>
      <c r="F84" s="9" t="s">
        <v>83</v>
      </c>
      <c r="G84" s="9"/>
      <c r="H84" s="23" t="s">
        <v>50</v>
      </c>
      <c r="I84" s="9" t="s">
        <v>49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</row>
    <row r="85" spans="1:103" ht="15.6" x14ac:dyDescent="0.3">
      <c r="A85" s="13" t="s">
        <v>5</v>
      </c>
      <c r="B85" s="14" t="s">
        <v>127</v>
      </c>
      <c r="C85" s="14" t="s">
        <v>128</v>
      </c>
      <c r="D85" s="7" t="s">
        <v>129</v>
      </c>
      <c r="E85" s="10" t="s">
        <v>50</v>
      </c>
      <c r="F85" s="10" t="s">
        <v>46</v>
      </c>
      <c r="G85" s="10" t="s">
        <v>52</v>
      </c>
      <c r="H85" s="10" t="s">
        <v>50</v>
      </c>
      <c r="I85" s="8" t="s">
        <v>53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</row>
    <row r="86" spans="1:103" ht="15.6" x14ac:dyDescent="0.3">
      <c r="A86" s="13" t="s">
        <v>5</v>
      </c>
      <c r="B86" s="14" t="s">
        <v>127</v>
      </c>
      <c r="C86" s="14" t="s">
        <v>130</v>
      </c>
      <c r="D86" s="7" t="s">
        <v>131</v>
      </c>
      <c r="E86" s="10" t="s">
        <v>50</v>
      </c>
      <c r="F86" s="8"/>
      <c r="G86" s="8"/>
      <c r="H86" s="10" t="s">
        <v>50</v>
      </c>
      <c r="I86" s="8" t="s">
        <v>49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</row>
    <row r="87" spans="1:103" ht="15.6" x14ac:dyDescent="0.3">
      <c r="A87" s="13" t="s">
        <v>5</v>
      </c>
      <c r="B87" s="14" t="s">
        <v>127</v>
      </c>
      <c r="C87" s="14" t="s">
        <v>130</v>
      </c>
      <c r="D87" s="7" t="s">
        <v>132</v>
      </c>
      <c r="E87" s="10" t="s">
        <v>50</v>
      </c>
      <c r="F87" s="10" t="s">
        <v>46</v>
      </c>
      <c r="G87" s="8"/>
      <c r="H87" s="10" t="s">
        <v>50</v>
      </c>
      <c r="I87" s="8" t="s">
        <v>49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</row>
    <row r="88" spans="1:103" ht="15.6" x14ac:dyDescent="0.3">
      <c r="A88" s="20" t="s">
        <v>28</v>
      </c>
      <c r="B88" s="22" t="s">
        <v>133</v>
      </c>
      <c r="C88" s="22" t="s">
        <v>133</v>
      </c>
      <c r="D88" s="3" t="s">
        <v>134</v>
      </c>
      <c r="E88" s="23" t="s">
        <v>52</v>
      </c>
      <c r="F88" s="23" t="s">
        <v>46</v>
      </c>
      <c r="G88" s="9"/>
      <c r="H88" s="23" t="s">
        <v>52</v>
      </c>
      <c r="I88" s="9" t="s">
        <v>22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</row>
    <row r="89" spans="1:103" ht="15.6" x14ac:dyDescent="0.3">
      <c r="A89" s="20" t="s">
        <v>28</v>
      </c>
      <c r="B89" s="22" t="s">
        <v>133</v>
      </c>
      <c r="C89" s="22" t="s">
        <v>133</v>
      </c>
      <c r="D89" s="3" t="s">
        <v>24</v>
      </c>
      <c r="E89" s="9" t="s">
        <v>82</v>
      </c>
      <c r="F89" s="9" t="s">
        <v>83</v>
      </c>
      <c r="G89" s="9"/>
      <c r="H89" s="23" t="s">
        <v>52</v>
      </c>
      <c r="I89" s="9" t="s">
        <v>49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</row>
    <row r="90" spans="1:103" ht="15.6" x14ac:dyDescent="0.3">
      <c r="A90" s="20" t="s">
        <v>28</v>
      </c>
      <c r="B90" s="22" t="s">
        <v>133</v>
      </c>
      <c r="C90" s="22" t="s">
        <v>133</v>
      </c>
      <c r="D90" s="3" t="s">
        <v>14</v>
      </c>
      <c r="E90" s="9" t="s">
        <v>82</v>
      </c>
      <c r="F90" s="9" t="s">
        <v>83</v>
      </c>
      <c r="G90" s="9"/>
      <c r="H90" s="23" t="s">
        <v>52</v>
      </c>
      <c r="I90" s="9" t="s">
        <v>49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</row>
    <row r="91" spans="1:103" ht="15.6" x14ac:dyDescent="0.3">
      <c r="A91" s="34" t="s">
        <v>135</v>
      </c>
      <c r="B91" s="14" t="s">
        <v>136</v>
      </c>
      <c r="C91" s="14" t="s">
        <v>137</v>
      </c>
      <c r="D91" s="7" t="s">
        <v>138</v>
      </c>
      <c r="E91" s="8" t="s">
        <v>10</v>
      </c>
      <c r="F91" s="8"/>
      <c r="G91" s="8"/>
      <c r="H91" s="10" t="s">
        <v>50</v>
      </c>
      <c r="I91" s="8" t="s">
        <v>40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</row>
    <row r="92" spans="1:103" ht="15.6" x14ac:dyDescent="0.3">
      <c r="A92" s="34" t="s">
        <v>135</v>
      </c>
      <c r="B92" s="14" t="s">
        <v>136</v>
      </c>
      <c r="C92" s="14" t="s">
        <v>137</v>
      </c>
      <c r="D92" s="7" t="s">
        <v>139</v>
      </c>
      <c r="E92" s="8" t="s">
        <v>10</v>
      </c>
      <c r="F92" s="8"/>
      <c r="G92" s="8"/>
      <c r="H92" s="10" t="s">
        <v>50</v>
      </c>
      <c r="I92" s="8" t="s">
        <v>40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</row>
    <row r="93" spans="1:103" ht="15.6" x14ac:dyDescent="0.3">
      <c r="A93" s="34" t="s">
        <v>135</v>
      </c>
      <c r="B93" s="14" t="s">
        <v>136</v>
      </c>
      <c r="C93" s="14" t="s">
        <v>137</v>
      </c>
      <c r="D93" s="7" t="s">
        <v>41</v>
      </c>
      <c r="E93" s="8" t="s">
        <v>10</v>
      </c>
      <c r="F93" s="8"/>
      <c r="G93" s="8"/>
      <c r="H93" s="10" t="s">
        <v>50</v>
      </c>
      <c r="I93" s="8" t="s">
        <v>40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</row>
    <row r="94" spans="1:103" ht="15.6" x14ac:dyDescent="0.3">
      <c r="A94" s="34" t="s">
        <v>135</v>
      </c>
      <c r="B94" s="14" t="s">
        <v>136</v>
      </c>
      <c r="C94" s="14" t="s">
        <v>137</v>
      </c>
      <c r="D94" s="7" t="s">
        <v>140</v>
      </c>
      <c r="E94" s="8" t="s">
        <v>10</v>
      </c>
      <c r="F94" s="8"/>
      <c r="G94" s="8"/>
      <c r="H94" s="10" t="s">
        <v>50</v>
      </c>
      <c r="I94" s="8" t="s">
        <v>40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</row>
    <row r="95" spans="1:103" ht="15.6" x14ac:dyDescent="0.3">
      <c r="A95" s="34" t="s">
        <v>135</v>
      </c>
      <c r="B95" s="14" t="s">
        <v>136</v>
      </c>
      <c r="C95" s="14" t="s">
        <v>137</v>
      </c>
      <c r="D95" s="7" t="s">
        <v>42</v>
      </c>
      <c r="E95" s="8" t="s">
        <v>10</v>
      </c>
      <c r="F95" s="8"/>
      <c r="G95" s="8"/>
      <c r="H95" s="10" t="s">
        <v>50</v>
      </c>
      <c r="I95" s="8" t="s">
        <v>40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</row>
    <row r="96" spans="1:103" ht="27.6" x14ac:dyDescent="0.3">
      <c r="A96" s="34" t="s">
        <v>135</v>
      </c>
      <c r="B96" s="14" t="s">
        <v>136</v>
      </c>
      <c r="C96" s="14" t="s">
        <v>141</v>
      </c>
      <c r="D96" s="7" t="s">
        <v>141</v>
      </c>
      <c r="E96" s="8" t="s">
        <v>13</v>
      </c>
      <c r="F96" s="8"/>
      <c r="G96" s="8"/>
      <c r="H96" s="10" t="s">
        <v>46</v>
      </c>
      <c r="I96" s="8" t="s">
        <v>40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</row>
    <row r="97" spans="1:103" ht="27.6" x14ac:dyDescent="0.3">
      <c r="A97" s="34" t="s">
        <v>135</v>
      </c>
      <c r="B97" s="14" t="s">
        <v>136</v>
      </c>
      <c r="C97" s="14" t="s">
        <v>141</v>
      </c>
      <c r="D97" s="7" t="s">
        <v>142</v>
      </c>
      <c r="E97" s="8" t="s">
        <v>13</v>
      </c>
      <c r="F97" s="8"/>
      <c r="G97" s="8"/>
      <c r="H97" s="10" t="s">
        <v>46</v>
      </c>
      <c r="I97" s="8" t="s">
        <v>40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</row>
    <row r="98" spans="1:103" ht="27.6" x14ac:dyDescent="0.3">
      <c r="A98" s="34" t="s">
        <v>135</v>
      </c>
      <c r="B98" s="14" t="s">
        <v>136</v>
      </c>
      <c r="C98" s="14" t="s">
        <v>141</v>
      </c>
      <c r="D98" s="7" t="s">
        <v>143</v>
      </c>
      <c r="E98" s="8" t="s">
        <v>13</v>
      </c>
      <c r="F98" s="8" t="s">
        <v>10</v>
      </c>
      <c r="G98" s="8"/>
      <c r="H98" s="10" t="s">
        <v>46</v>
      </c>
      <c r="I98" s="8" t="s">
        <v>40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</row>
    <row r="99" spans="1:103" ht="27.6" x14ac:dyDescent="0.3">
      <c r="A99" s="34" t="s">
        <v>135</v>
      </c>
      <c r="B99" s="14" t="s">
        <v>136</v>
      </c>
      <c r="C99" s="14" t="s">
        <v>141</v>
      </c>
      <c r="D99" s="7" t="s">
        <v>144</v>
      </c>
      <c r="E99" s="8" t="s">
        <v>13</v>
      </c>
      <c r="F99" s="8"/>
      <c r="G99" s="8"/>
      <c r="H99" s="10" t="s">
        <v>46</v>
      </c>
      <c r="I99" s="8" t="s">
        <v>40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</row>
    <row r="100" spans="1:103" ht="27.6" x14ac:dyDescent="0.3">
      <c r="A100" s="34" t="s">
        <v>135</v>
      </c>
      <c r="B100" s="14" t="s">
        <v>136</v>
      </c>
      <c r="C100" s="14" t="s">
        <v>141</v>
      </c>
      <c r="D100" s="7" t="s">
        <v>43</v>
      </c>
      <c r="E100" s="8" t="s">
        <v>13</v>
      </c>
      <c r="F100" s="8"/>
      <c r="G100" s="8"/>
      <c r="H100" s="10" t="s">
        <v>46</v>
      </c>
      <c r="I100" s="8" t="s">
        <v>40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</row>
    <row r="101" spans="1:103" ht="27.6" x14ac:dyDescent="0.3">
      <c r="A101" s="34" t="s">
        <v>135</v>
      </c>
      <c r="B101" s="14" t="s">
        <v>136</v>
      </c>
      <c r="C101" s="14" t="s">
        <v>141</v>
      </c>
      <c r="D101" s="7" t="s">
        <v>145</v>
      </c>
      <c r="E101" s="8" t="s">
        <v>13</v>
      </c>
      <c r="F101" s="8"/>
      <c r="G101" s="8"/>
      <c r="H101" s="10" t="s">
        <v>46</v>
      </c>
      <c r="I101" s="8" t="s">
        <v>40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</row>
    <row r="102" spans="1:103" ht="27.6" x14ac:dyDescent="0.3">
      <c r="A102" s="34" t="s">
        <v>135</v>
      </c>
      <c r="B102" s="14" t="s">
        <v>136</v>
      </c>
      <c r="C102" s="14" t="s">
        <v>141</v>
      </c>
      <c r="D102" s="7" t="s">
        <v>146</v>
      </c>
      <c r="E102" s="8" t="s">
        <v>13</v>
      </c>
      <c r="F102" s="8"/>
      <c r="G102" s="8"/>
      <c r="H102" s="10" t="s">
        <v>46</v>
      </c>
      <c r="I102" s="8" t="s">
        <v>40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</row>
    <row r="103" spans="1:103" ht="15.6" x14ac:dyDescent="0.3">
      <c r="A103" s="34" t="s">
        <v>135</v>
      </c>
      <c r="B103" s="14" t="s">
        <v>136</v>
      </c>
      <c r="C103" s="6" t="s">
        <v>147</v>
      </c>
      <c r="D103" s="7" t="s">
        <v>148</v>
      </c>
      <c r="E103" s="8" t="s">
        <v>12</v>
      </c>
      <c r="F103" s="8"/>
      <c r="G103" s="8"/>
      <c r="H103" s="10" t="s">
        <v>46</v>
      </c>
      <c r="I103" s="8" t="s">
        <v>40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</row>
    <row r="104" spans="1:103" ht="15.6" x14ac:dyDescent="0.3">
      <c r="A104" s="34" t="s">
        <v>135</v>
      </c>
      <c r="B104" s="14" t="s">
        <v>136</v>
      </c>
      <c r="C104" s="6" t="s">
        <v>147</v>
      </c>
      <c r="D104" s="7" t="s">
        <v>149</v>
      </c>
      <c r="E104" s="8" t="s">
        <v>12</v>
      </c>
      <c r="F104" s="8"/>
      <c r="G104" s="8"/>
      <c r="H104" s="10" t="s">
        <v>46</v>
      </c>
      <c r="I104" s="8" t="s">
        <v>40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</row>
    <row r="105" spans="1:103" ht="15.6" x14ac:dyDescent="0.3">
      <c r="A105" s="34" t="s">
        <v>135</v>
      </c>
      <c r="B105" s="14" t="s">
        <v>136</v>
      </c>
      <c r="C105" s="6" t="s">
        <v>147</v>
      </c>
      <c r="D105" s="7" t="s">
        <v>150</v>
      </c>
      <c r="E105" s="8" t="s">
        <v>12</v>
      </c>
      <c r="F105" s="8"/>
      <c r="G105" s="8"/>
      <c r="H105" s="10" t="s">
        <v>46</v>
      </c>
      <c r="I105" s="8" t="s">
        <v>40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</row>
    <row r="106" spans="1:103" ht="15.6" x14ac:dyDescent="0.3">
      <c r="A106" s="34" t="s">
        <v>135</v>
      </c>
      <c r="B106" s="14" t="s">
        <v>136</v>
      </c>
      <c r="C106" s="14" t="s">
        <v>151</v>
      </c>
      <c r="D106" s="7" t="s">
        <v>152</v>
      </c>
      <c r="E106" s="8" t="s">
        <v>17</v>
      </c>
      <c r="F106" s="8" t="s">
        <v>13</v>
      </c>
      <c r="G106" s="8"/>
      <c r="H106" s="10" t="s">
        <v>46</v>
      </c>
      <c r="I106" s="8" t="s">
        <v>40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</row>
    <row r="107" spans="1:103" ht="15.6" x14ac:dyDescent="0.3">
      <c r="A107" s="34" t="s">
        <v>135</v>
      </c>
      <c r="B107" s="14" t="s">
        <v>136</v>
      </c>
      <c r="C107" s="14" t="s">
        <v>151</v>
      </c>
      <c r="D107" s="7" t="s">
        <v>153</v>
      </c>
      <c r="E107" s="8" t="s">
        <v>17</v>
      </c>
      <c r="F107" s="8"/>
      <c r="G107" s="8"/>
      <c r="H107" s="10" t="s">
        <v>46</v>
      </c>
      <c r="I107" s="8" t="s">
        <v>40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</row>
    <row r="108" spans="1:103" ht="15.6" x14ac:dyDescent="0.3">
      <c r="A108" s="34" t="s">
        <v>135</v>
      </c>
      <c r="B108" s="14" t="s">
        <v>136</v>
      </c>
      <c r="C108" s="14" t="s">
        <v>151</v>
      </c>
      <c r="D108" s="7" t="s">
        <v>39</v>
      </c>
      <c r="E108" s="8" t="s">
        <v>17</v>
      </c>
      <c r="F108" s="8"/>
      <c r="G108" s="8"/>
      <c r="H108" s="10" t="s">
        <v>46</v>
      </c>
      <c r="I108" s="8" t="s">
        <v>40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</row>
    <row r="109" spans="1:103" ht="15.6" x14ac:dyDescent="0.3">
      <c r="A109" s="34" t="s">
        <v>135</v>
      </c>
      <c r="B109" s="14" t="s">
        <v>136</v>
      </c>
      <c r="C109" s="14" t="s">
        <v>151</v>
      </c>
      <c r="D109" s="7" t="s">
        <v>154</v>
      </c>
      <c r="E109" s="8" t="s">
        <v>17</v>
      </c>
      <c r="F109" s="8" t="s">
        <v>6</v>
      </c>
      <c r="G109" s="8"/>
      <c r="H109" s="10" t="s">
        <v>46</v>
      </c>
      <c r="I109" s="8" t="s">
        <v>40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</row>
    <row r="110" spans="1:103" ht="41.4" x14ac:dyDescent="0.3">
      <c r="A110" s="34" t="s">
        <v>135</v>
      </c>
      <c r="B110" s="14" t="s">
        <v>155</v>
      </c>
      <c r="C110" s="14" t="s">
        <v>155</v>
      </c>
      <c r="D110" s="7" t="s">
        <v>156</v>
      </c>
      <c r="E110" s="8" t="s">
        <v>6</v>
      </c>
      <c r="F110" s="8"/>
      <c r="G110" s="8"/>
      <c r="H110" s="10" t="s">
        <v>50</v>
      </c>
      <c r="I110" s="8" t="s">
        <v>40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</row>
    <row r="111" spans="1:103" ht="41.4" x14ac:dyDescent="0.3">
      <c r="A111" s="34" t="s">
        <v>135</v>
      </c>
      <c r="B111" s="14" t="s">
        <v>155</v>
      </c>
      <c r="C111" s="14" t="s">
        <v>155</v>
      </c>
      <c r="D111" s="7" t="s">
        <v>157</v>
      </c>
      <c r="E111" s="8" t="s">
        <v>6</v>
      </c>
      <c r="F111" s="8"/>
      <c r="G111" s="8"/>
      <c r="H111" s="10" t="s">
        <v>50</v>
      </c>
      <c r="I111" s="8" t="s">
        <v>40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</row>
    <row r="112" spans="1:103" ht="41.4" x14ac:dyDescent="0.3">
      <c r="A112" s="34" t="s">
        <v>135</v>
      </c>
      <c r="B112" s="14" t="s">
        <v>155</v>
      </c>
      <c r="C112" s="14" t="s">
        <v>155</v>
      </c>
      <c r="D112" s="7" t="s">
        <v>158</v>
      </c>
      <c r="E112" s="8" t="s">
        <v>6</v>
      </c>
      <c r="F112" s="8"/>
      <c r="G112" s="8"/>
      <c r="H112" s="10" t="s">
        <v>50</v>
      </c>
      <c r="I112" s="8" t="s">
        <v>40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</row>
    <row r="113" spans="1:103" ht="41.4" x14ac:dyDescent="0.3">
      <c r="A113" s="34" t="s">
        <v>135</v>
      </c>
      <c r="B113" s="14" t="s">
        <v>155</v>
      </c>
      <c r="C113" s="14" t="s">
        <v>155</v>
      </c>
      <c r="D113" s="7" t="s">
        <v>159</v>
      </c>
      <c r="E113" s="8" t="s">
        <v>6</v>
      </c>
      <c r="F113" s="8"/>
      <c r="G113" s="8"/>
      <c r="H113" s="10" t="s">
        <v>50</v>
      </c>
      <c r="I113" s="8" t="s">
        <v>40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</row>
    <row r="114" spans="1:103" ht="41.4" x14ac:dyDescent="0.3">
      <c r="A114" s="34" t="s">
        <v>135</v>
      </c>
      <c r="B114" s="14" t="s">
        <v>155</v>
      </c>
      <c r="C114" s="14" t="s">
        <v>155</v>
      </c>
      <c r="D114" s="7" t="s">
        <v>160</v>
      </c>
      <c r="E114" s="8" t="s">
        <v>6</v>
      </c>
      <c r="F114" s="8"/>
      <c r="G114" s="8"/>
      <c r="H114" s="10" t="s">
        <v>50</v>
      </c>
      <c r="I114" s="8" t="s">
        <v>40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</row>
    <row r="115" spans="1:103" ht="41.4" x14ac:dyDescent="0.3">
      <c r="A115" s="34" t="s">
        <v>135</v>
      </c>
      <c r="B115" s="14" t="s">
        <v>155</v>
      </c>
      <c r="C115" s="14" t="s">
        <v>155</v>
      </c>
      <c r="D115" s="7" t="s">
        <v>161</v>
      </c>
      <c r="E115" s="8" t="s">
        <v>6</v>
      </c>
      <c r="F115" s="8"/>
      <c r="G115" s="8"/>
      <c r="H115" s="10" t="s">
        <v>50</v>
      </c>
      <c r="I115" s="8" t="s">
        <v>40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</row>
    <row r="116" spans="1:103" ht="15.6" x14ac:dyDescent="0.3">
      <c r="A116" s="35"/>
      <c r="B116" s="36"/>
      <c r="C116" s="2"/>
      <c r="D116" s="2"/>
      <c r="E116" s="37"/>
      <c r="F116" s="37"/>
      <c r="G116" s="37"/>
      <c r="H116" s="37"/>
      <c r="I116" s="37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</row>
    <row r="117" spans="1:103" ht="15.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</row>
    <row r="118" spans="1:103" ht="15.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</row>
    <row r="119" spans="1:103" ht="15.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</row>
    <row r="120" spans="1:103" ht="15.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</row>
    <row r="121" spans="1:103" ht="15.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</row>
    <row r="122" spans="1:103" ht="15.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</row>
    <row r="123" spans="1:103" ht="15.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</row>
    <row r="124" spans="1:103" ht="15.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</row>
    <row r="125" spans="1:103" ht="15.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</row>
    <row r="126" spans="1:103" ht="15.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</row>
    <row r="127" spans="1:103" ht="15.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</row>
    <row r="128" spans="1:103" ht="15.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</row>
    <row r="129" spans="1:103" ht="15.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</row>
    <row r="130" spans="1:103" ht="15.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</row>
    <row r="131" spans="1:103" ht="15.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</row>
    <row r="132" spans="1:103" ht="15.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</row>
    <row r="133" spans="1:103" ht="15.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</row>
    <row r="134" spans="1:103" ht="15.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</row>
    <row r="135" spans="1:103" ht="15.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</row>
    <row r="136" spans="1:103" ht="15.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</row>
    <row r="137" spans="1:103" ht="15.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</row>
    <row r="138" spans="1:103" ht="15.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</row>
    <row r="139" spans="1:103" ht="15.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</row>
    <row r="140" spans="1:103" ht="15.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</row>
    <row r="141" spans="1:103" ht="15.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</row>
    <row r="142" spans="1:103" ht="15.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</row>
    <row r="143" spans="1:103" ht="15.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</row>
    <row r="144" spans="1:103" ht="15.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</row>
    <row r="145" spans="1:103" ht="15.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</row>
    <row r="146" spans="1:103" ht="15.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</row>
    <row r="147" spans="1:103" ht="15.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</row>
    <row r="148" spans="1:103" ht="15.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</row>
    <row r="149" spans="1:103" ht="15.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</row>
    <row r="150" spans="1:103" ht="15.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</row>
    <row r="151" spans="1:103" ht="15.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</row>
    <row r="152" spans="1:103" ht="15.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</row>
    <row r="153" spans="1:103" ht="15.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</row>
    <row r="154" spans="1:103" ht="15.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</row>
    <row r="155" spans="1:103" ht="15.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</row>
    <row r="156" spans="1:103" ht="15.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</row>
    <row r="157" spans="1:103" ht="15.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</row>
    <row r="158" spans="1:103" ht="15.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</row>
    <row r="159" spans="1:103" ht="15.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</row>
    <row r="160" spans="1:103" ht="15.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</row>
    <row r="161" spans="1:103" ht="15.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</row>
    <row r="162" spans="1:103" ht="15.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</row>
    <row r="163" spans="1:103" ht="15.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</row>
    <row r="164" spans="1:103" ht="15.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</row>
    <row r="165" spans="1:103" ht="15.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</row>
    <row r="166" spans="1:103" ht="15.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</row>
    <row r="167" spans="1:103" ht="15.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</row>
    <row r="168" spans="1:103" ht="15.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</row>
    <row r="169" spans="1:103" ht="15.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</row>
    <row r="170" spans="1:103" ht="15.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</row>
    <row r="171" spans="1:103" ht="15.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</row>
    <row r="172" spans="1:103" ht="15.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</row>
    <row r="173" spans="1:103" ht="15.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</row>
    <row r="174" spans="1:103" ht="15.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</row>
    <row r="175" spans="1:103" ht="15.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</row>
    <row r="176" spans="1:103" ht="15.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</row>
    <row r="177" spans="1:103" ht="15.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</row>
    <row r="178" spans="1:103" ht="15.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</row>
    <row r="179" spans="1:103" ht="15.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</row>
    <row r="180" spans="1:103" ht="15.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</row>
    <row r="181" spans="1:103" ht="15.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</row>
    <row r="182" spans="1:103" ht="15.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</row>
    <row r="183" spans="1:103" ht="15.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</row>
    <row r="184" spans="1:103" ht="15.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</row>
    <row r="185" spans="1:103" ht="15.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</row>
    <row r="186" spans="1:103" ht="15.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</row>
    <row r="187" spans="1:103" ht="15.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</row>
    <row r="188" spans="1:103" ht="15.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</row>
    <row r="189" spans="1:103" ht="15.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</row>
    <row r="190" spans="1:103" ht="15.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</row>
    <row r="191" spans="1:103" ht="15.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</row>
    <row r="192" spans="1:103" ht="15.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</row>
    <row r="193" spans="1:103" ht="15.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</row>
    <row r="194" spans="1:103" ht="15.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</row>
    <row r="195" spans="1:103" ht="15.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</row>
    <row r="196" spans="1:103" ht="15.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</row>
    <row r="197" spans="1:103" ht="15.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</row>
    <row r="198" spans="1:103" ht="15.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</row>
    <row r="199" spans="1:103" ht="15.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</row>
    <row r="200" spans="1:103" ht="15.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</row>
    <row r="201" spans="1:103" ht="15.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</row>
    <row r="202" spans="1:103" ht="15.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</row>
    <row r="203" spans="1:103" ht="15.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</row>
    <row r="204" spans="1:103" ht="15.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</row>
    <row r="205" spans="1:103" ht="15.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</row>
    <row r="206" spans="1:103" ht="15.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</row>
    <row r="207" spans="1:103" ht="15.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</row>
    <row r="208" spans="1:103" ht="15.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</row>
    <row r="209" spans="1:103" ht="15.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</row>
    <row r="210" spans="1:103" ht="15.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</row>
    <row r="211" spans="1:103" ht="15.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</row>
    <row r="212" spans="1:103" ht="15.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</row>
    <row r="213" spans="1:103" ht="15.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</row>
    <row r="214" spans="1:103" ht="15.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</row>
    <row r="215" spans="1:103" ht="15.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</row>
    <row r="216" spans="1:103" ht="15.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</row>
    <row r="217" spans="1:103" ht="15.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</row>
    <row r="218" spans="1:103" ht="15.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</row>
    <row r="219" spans="1:103" ht="15.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</row>
    <row r="220" spans="1:103" ht="15.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</row>
    <row r="221" spans="1:103" ht="15.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</row>
    <row r="222" spans="1:103" ht="15.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</row>
    <row r="223" spans="1:103" ht="15.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</row>
    <row r="224" spans="1:103" ht="15.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</row>
    <row r="225" spans="1:103" ht="15.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</row>
    <row r="226" spans="1:103" ht="15.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</row>
    <row r="227" spans="1:103" ht="15.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</row>
    <row r="228" spans="1:103" ht="15.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</row>
    <row r="229" spans="1:103" ht="15.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</row>
    <row r="230" spans="1:103" ht="15.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</row>
    <row r="231" spans="1:103" ht="15.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</row>
    <row r="232" spans="1:103" ht="15.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</row>
    <row r="233" spans="1:103" ht="15.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</row>
    <row r="234" spans="1:103" ht="15.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</row>
    <row r="235" spans="1:103" ht="15.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</row>
    <row r="236" spans="1:103" ht="15.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</row>
    <row r="237" spans="1:103" ht="15.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</row>
    <row r="238" spans="1:103" ht="15.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</row>
    <row r="239" spans="1:103" ht="15.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</row>
    <row r="240" spans="1:103" ht="15.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</row>
    <row r="241" spans="1:103" ht="15.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</row>
    <row r="242" spans="1:103" ht="15.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</row>
    <row r="243" spans="1:103" ht="15.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</row>
    <row r="244" spans="1:103" ht="15.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</row>
    <row r="245" spans="1:103" ht="15.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</row>
    <row r="246" spans="1:103" ht="15.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</row>
    <row r="247" spans="1:103" ht="15.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</row>
    <row r="248" spans="1:103" ht="15.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</row>
    <row r="249" spans="1:103" ht="15.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</row>
    <row r="250" spans="1:103" ht="15.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</row>
    <row r="251" spans="1:103" ht="15.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</row>
    <row r="252" spans="1:103" ht="15.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</row>
    <row r="253" spans="1:103" ht="15.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</row>
    <row r="254" spans="1:103" ht="15.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</row>
    <row r="255" spans="1:103" ht="15.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</row>
    <row r="256" spans="1:103" ht="15.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</row>
    <row r="257" spans="1:103" ht="15.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</row>
    <row r="258" spans="1:103" ht="15.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</row>
    <row r="259" spans="1:103" ht="15.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</row>
    <row r="260" spans="1:103" ht="15.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</row>
    <row r="261" spans="1:103" ht="15.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</row>
    <row r="262" spans="1:103" ht="15.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</row>
    <row r="263" spans="1:103" ht="15.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</row>
    <row r="264" spans="1:103" ht="15.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</row>
    <row r="265" spans="1:103" ht="15.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</row>
    <row r="266" spans="1:103" ht="15.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</row>
    <row r="267" spans="1:103" ht="15.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</row>
    <row r="268" spans="1:103" ht="15.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</row>
    <row r="269" spans="1:103" ht="15.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</row>
    <row r="270" spans="1:103" ht="15.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</row>
    <row r="271" spans="1:103" ht="15.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</row>
    <row r="272" spans="1:103" ht="15.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</row>
    <row r="273" spans="1:103" ht="15.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</row>
    <row r="274" spans="1:103" ht="15.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</row>
    <row r="275" spans="1:103" ht="15.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</row>
    <row r="276" spans="1:103" ht="15.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</row>
    <row r="277" spans="1:103" ht="15.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</row>
    <row r="278" spans="1:103" ht="15.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</row>
    <row r="279" spans="1:103" ht="15.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</row>
    <row r="280" spans="1:103" ht="15.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</row>
    <row r="281" spans="1:103" ht="15.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</row>
    <row r="282" spans="1:103" ht="15.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</row>
    <row r="283" spans="1:103" ht="15.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</row>
    <row r="284" spans="1:103" ht="15.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</row>
    <row r="285" spans="1:103" ht="15.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</row>
    <row r="286" spans="1:103" ht="15.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</row>
    <row r="287" spans="1:103" ht="15.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</row>
    <row r="288" spans="1:103" ht="15.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</row>
    <row r="289" spans="1:103" ht="15.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</row>
    <row r="290" spans="1:103" ht="15.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</row>
    <row r="291" spans="1:103" ht="15.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</row>
    <row r="292" spans="1:103" ht="15.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</row>
    <row r="293" spans="1:103" ht="15.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</row>
    <row r="294" spans="1:103" ht="15.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</row>
    <row r="295" spans="1:103" ht="15.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</row>
    <row r="296" spans="1:103" ht="15.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</row>
    <row r="297" spans="1:103" ht="15.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</row>
    <row r="298" spans="1:103" ht="15.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</row>
    <row r="299" spans="1:103" ht="15.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</row>
    <row r="300" spans="1:103" ht="15.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</row>
    <row r="301" spans="1:103" ht="15.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</row>
    <row r="302" spans="1:103" ht="15.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</row>
    <row r="303" spans="1:103" ht="15.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</row>
    <row r="304" spans="1:103" ht="15.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</row>
    <row r="305" spans="1:103" ht="15.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</row>
    <row r="306" spans="1:103" ht="15.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</row>
    <row r="307" spans="1:103" ht="15.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</row>
    <row r="308" spans="1:103" ht="15.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</row>
    <row r="309" spans="1:103" ht="15.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</row>
    <row r="310" spans="1:103" ht="15.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</row>
    <row r="311" spans="1:103" ht="15.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</row>
    <row r="312" spans="1:103" ht="15.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</row>
    <row r="313" spans="1:103" ht="15.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</row>
    <row r="314" spans="1:103" ht="15.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</row>
    <row r="315" spans="1:103" ht="15.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</row>
    <row r="316" spans="1:103" ht="15.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</row>
    <row r="317" spans="1:103" ht="15.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</row>
    <row r="318" spans="1:103" ht="15.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</row>
    <row r="319" spans="1:103" ht="15.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</row>
    <row r="320" spans="1:103" ht="15.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</row>
    <row r="321" spans="1:103" ht="15.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</row>
    <row r="322" spans="1:103" ht="15.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</row>
    <row r="323" spans="1:103" ht="15.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</row>
    <row r="324" spans="1:103" ht="15.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</row>
    <row r="325" spans="1:103" ht="15.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</row>
    <row r="326" spans="1:103" ht="15.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</row>
    <row r="327" spans="1:103" ht="15.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</row>
    <row r="328" spans="1:103" ht="15.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</row>
    <row r="329" spans="1:103" ht="15.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</row>
    <row r="330" spans="1:103" ht="15.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</row>
    <row r="331" spans="1:103" ht="15.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</row>
    <row r="332" spans="1:103" ht="15.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</row>
    <row r="333" spans="1:103" ht="15.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</row>
    <row r="334" spans="1:103" ht="15.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</row>
    <row r="335" spans="1:103" ht="15.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</row>
    <row r="336" spans="1:103" ht="15.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</row>
    <row r="337" spans="1:103" ht="15.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</row>
    <row r="338" spans="1:103" ht="15.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</row>
    <row r="339" spans="1:103" ht="15.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</row>
    <row r="340" spans="1:103" ht="15.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</row>
    <row r="341" spans="1:103" ht="15.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</row>
    <row r="342" spans="1:103" ht="15.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</row>
    <row r="343" spans="1:103" ht="15.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</row>
    <row r="344" spans="1:103" ht="15.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</row>
    <row r="345" spans="1:103" ht="15.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</row>
    <row r="346" spans="1:103" ht="15.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</row>
    <row r="347" spans="1:103" ht="15.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</row>
    <row r="348" spans="1:103" ht="15.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</row>
    <row r="349" spans="1:103" ht="15.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</row>
    <row r="350" spans="1:103" ht="15.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</row>
    <row r="351" spans="1:103" ht="15.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</row>
    <row r="352" spans="1:103" ht="15.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</row>
    <row r="353" spans="1:103" ht="15.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</row>
    <row r="354" spans="1:103" ht="15.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</row>
    <row r="355" spans="1:103" ht="15.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</row>
    <row r="356" spans="1:103" ht="15.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</row>
    <row r="357" spans="1:103" ht="15.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</row>
    <row r="358" spans="1:103" ht="15.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</row>
    <row r="359" spans="1:103" ht="15.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</row>
    <row r="360" spans="1:103" ht="15.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</row>
    <row r="361" spans="1:103" ht="15.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</row>
    <row r="362" spans="1:103" ht="15.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</row>
    <row r="363" spans="1:103" ht="15.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</row>
    <row r="364" spans="1:103" ht="15.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</row>
    <row r="365" spans="1:103" ht="15.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</row>
    <row r="366" spans="1:103" ht="15.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</row>
    <row r="367" spans="1:103" ht="15.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</row>
    <row r="368" spans="1:103" ht="15.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</row>
    <row r="369" spans="1:103" ht="15.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</row>
    <row r="370" spans="1:103" ht="15.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</row>
    <row r="371" spans="1:103" ht="15.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</row>
    <row r="372" spans="1:103" ht="15.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</row>
    <row r="373" spans="1:103" ht="15.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</row>
    <row r="374" spans="1:103" ht="15.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</row>
    <row r="375" spans="1:103" ht="15.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</row>
    <row r="376" spans="1:103" ht="15.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</row>
    <row r="377" spans="1:103" ht="15.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</row>
    <row r="378" spans="1:103" ht="15.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</row>
    <row r="379" spans="1:103" ht="15.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</row>
    <row r="380" spans="1:103" ht="15.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</row>
    <row r="381" spans="1:103" ht="15.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</row>
    <row r="382" spans="1:103" ht="15.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</row>
    <row r="383" spans="1:103" ht="15.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</row>
    <row r="384" spans="1:103" ht="15.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</row>
    <row r="385" spans="1:103" ht="15.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</row>
    <row r="386" spans="1:103" ht="15.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</row>
    <row r="387" spans="1:103" ht="15.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</row>
    <row r="388" spans="1:103" ht="15.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</row>
    <row r="389" spans="1:103" ht="15.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</row>
    <row r="390" spans="1:103" ht="15.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</row>
    <row r="391" spans="1:103" ht="15.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</row>
    <row r="392" spans="1:103" ht="15.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</row>
    <row r="393" spans="1:103" ht="15.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</row>
    <row r="394" spans="1:103" ht="15.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</row>
    <row r="395" spans="1:103" ht="15.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</row>
    <row r="396" spans="1:103" ht="15.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</row>
    <row r="397" spans="1:103" ht="15.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</row>
    <row r="398" spans="1:103" ht="15.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</row>
    <row r="399" spans="1:103" ht="15.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</row>
    <row r="400" spans="1:103" ht="15.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</row>
    <row r="401" spans="1:103" ht="15.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</row>
    <row r="402" spans="1:103" ht="15.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</row>
    <row r="403" spans="1:103" ht="15.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</row>
    <row r="404" spans="1:103" ht="15.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</row>
    <row r="405" spans="1:103" ht="15.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</row>
    <row r="406" spans="1:103" ht="15.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</row>
    <row r="407" spans="1:103" ht="15.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</row>
    <row r="408" spans="1:103" ht="15.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</row>
    <row r="409" spans="1:103" ht="15.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</row>
    <row r="410" spans="1:103" ht="15.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</row>
    <row r="411" spans="1:103" ht="15.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</row>
    <row r="412" spans="1:103" ht="15.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</row>
    <row r="413" spans="1:103" ht="15.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</row>
    <row r="414" spans="1:103" ht="15.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</row>
    <row r="415" spans="1:103" ht="15.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</row>
    <row r="416" spans="1:103" ht="15.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</row>
    <row r="417" spans="1:103" ht="15.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</row>
    <row r="418" spans="1:103" ht="15.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</row>
    <row r="419" spans="1:103" ht="15.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</row>
    <row r="420" spans="1:103" ht="15.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</row>
    <row r="421" spans="1:103" ht="15.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</row>
    <row r="422" spans="1:103" ht="15.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</row>
    <row r="423" spans="1:103" ht="15.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</row>
    <row r="424" spans="1:103" ht="15.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</row>
    <row r="425" spans="1:103" ht="15.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</row>
    <row r="426" spans="1:103" ht="15.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</row>
    <row r="427" spans="1:103" ht="15.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</row>
    <row r="428" spans="1:103" ht="15.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</row>
    <row r="429" spans="1:103" ht="15.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</row>
    <row r="430" spans="1:103" ht="15.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</row>
    <row r="431" spans="1:103" ht="15.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</row>
    <row r="432" spans="1:103" ht="15.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</row>
    <row r="433" spans="1:103" ht="15.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</row>
    <row r="434" spans="1:103" ht="15.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</row>
    <row r="435" spans="1:103" ht="15.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</row>
    <row r="436" spans="1:103" ht="15.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</row>
    <row r="437" spans="1:103" ht="15.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</row>
    <row r="438" spans="1:103" ht="15.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</row>
    <row r="439" spans="1:103" ht="15.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</row>
    <row r="440" spans="1:103" ht="15.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</row>
    <row r="441" spans="1:103" ht="15.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</row>
    <row r="442" spans="1:103" ht="15.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</row>
    <row r="443" spans="1:103" ht="15.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</row>
    <row r="444" spans="1:103" ht="15.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</row>
    <row r="445" spans="1:103" ht="15.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</row>
    <row r="446" spans="1:103" ht="15.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</row>
    <row r="447" spans="1:103" ht="15.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</row>
    <row r="448" spans="1:103" ht="15.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</row>
    <row r="449" spans="1:103" ht="15.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</row>
    <row r="450" spans="1:103" ht="15.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</row>
    <row r="451" spans="1:103" ht="15.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</row>
    <row r="452" spans="1:103" ht="15.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</row>
    <row r="453" spans="1:103" ht="15.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</row>
    <row r="454" spans="1:103" ht="15.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</row>
    <row r="455" spans="1:103" ht="15.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</row>
    <row r="456" spans="1:103" ht="15.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</row>
    <row r="457" spans="1:103" ht="15.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</row>
    <row r="458" spans="1:103" ht="15.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</row>
    <row r="459" spans="1:103" ht="15.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</row>
    <row r="460" spans="1:103" ht="15.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</row>
    <row r="461" spans="1:103" ht="15.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</row>
    <row r="462" spans="1:103" ht="15.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</row>
    <row r="463" spans="1:103" ht="15.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</row>
    <row r="464" spans="1:103" ht="15.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</row>
    <row r="465" spans="1:103" ht="15.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</row>
    <row r="466" spans="1:103" ht="15.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</row>
    <row r="467" spans="1:103" ht="15.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</row>
    <row r="468" spans="1:103" ht="15.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</row>
    <row r="469" spans="1:103" ht="15.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</row>
    <row r="470" spans="1:103" ht="15.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</row>
    <row r="471" spans="1:103" ht="15.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</row>
    <row r="472" spans="1:103" ht="15.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</row>
    <row r="473" spans="1:103" ht="15.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</row>
    <row r="474" spans="1:103" ht="15.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</row>
    <row r="475" spans="1:103" ht="15.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</row>
    <row r="476" spans="1:103" ht="15.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</row>
    <row r="477" spans="1:103" ht="15.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</row>
    <row r="478" spans="1:103" ht="15.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</row>
    <row r="479" spans="1:103" ht="15.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</row>
    <row r="480" spans="1:103" ht="15.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</row>
    <row r="481" spans="1:103" ht="15.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</row>
    <row r="482" spans="1:103" ht="15.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</row>
    <row r="483" spans="1:103" ht="15.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</row>
    <row r="484" spans="1:103" ht="15.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</row>
    <row r="485" spans="1:103" ht="15.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</row>
    <row r="486" spans="1:103" ht="15.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</row>
    <row r="487" spans="1:103" ht="15.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</row>
    <row r="488" spans="1:103" ht="15.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</row>
    <row r="489" spans="1:103" ht="15.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</row>
    <row r="490" spans="1:103" ht="15.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</row>
    <row r="491" spans="1:103" ht="15.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</row>
    <row r="492" spans="1:103" ht="15.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</row>
    <row r="493" spans="1:103" ht="15.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</row>
    <row r="494" spans="1:103" ht="15.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</row>
    <row r="495" spans="1:103" ht="15.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</row>
    <row r="496" spans="1:103" ht="15.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</row>
    <row r="497" spans="1:103" ht="15.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</row>
    <row r="498" spans="1:103" ht="15.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</row>
    <row r="499" spans="1:103" ht="15.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</row>
    <row r="500" spans="1:103" ht="15.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</row>
    <row r="501" spans="1:103" ht="15.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</row>
    <row r="502" spans="1:103" ht="15.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</row>
    <row r="503" spans="1:103" ht="15.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</row>
    <row r="504" spans="1:103" ht="15.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</row>
    <row r="505" spans="1:103" ht="15.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</row>
    <row r="506" spans="1:103" ht="15.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</row>
    <row r="507" spans="1:103" ht="15.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</row>
    <row r="508" spans="1:103" ht="15.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</row>
    <row r="509" spans="1:103" ht="15.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</row>
    <row r="510" spans="1:103" ht="15.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</row>
    <row r="511" spans="1:103" ht="15.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</row>
    <row r="512" spans="1:103" ht="15.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</row>
    <row r="513" spans="1:103" ht="15.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</row>
    <row r="514" spans="1:103" ht="15.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</row>
    <row r="515" spans="1:103" ht="15.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</row>
    <row r="516" spans="1:103" ht="15.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</row>
    <row r="517" spans="1:103" ht="15.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</row>
    <row r="518" spans="1:103" ht="15.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</row>
    <row r="519" spans="1:103" ht="15.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</row>
    <row r="520" spans="1:103" ht="15.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</row>
    <row r="521" spans="1:103" ht="15.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</row>
    <row r="522" spans="1:103" ht="15.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</row>
    <row r="523" spans="1:103" ht="15.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</row>
    <row r="524" spans="1:103" ht="15.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</row>
    <row r="525" spans="1:103" ht="15.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</row>
    <row r="526" spans="1:103" ht="15.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</row>
    <row r="527" spans="1:103" ht="15.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</row>
    <row r="528" spans="1:103" ht="15.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</row>
    <row r="529" spans="1:103" ht="15.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</row>
    <row r="530" spans="1:103" ht="15.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</row>
    <row r="531" spans="1:103" ht="15.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</row>
    <row r="532" spans="1:103" ht="15.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</row>
    <row r="533" spans="1:103" ht="15.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</row>
    <row r="534" spans="1:103" ht="15.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</row>
    <row r="535" spans="1:103" ht="15.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</row>
    <row r="536" spans="1:103" ht="15.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</row>
    <row r="537" spans="1:103" ht="15.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</row>
    <row r="538" spans="1:103" ht="15.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</row>
    <row r="539" spans="1:103" ht="15.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</row>
    <row r="540" spans="1:103" ht="15.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</row>
    <row r="541" spans="1:103" ht="15.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</row>
    <row r="542" spans="1:103" ht="15.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</row>
    <row r="543" spans="1:103" ht="15.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</row>
    <row r="544" spans="1:103" ht="15.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</row>
    <row r="545" spans="1:103" ht="15.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</row>
    <row r="546" spans="1:103" ht="15.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</row>
    <row r="547" spans="1:103" ht="15.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</row>
    <row r="548" spans="1:103" ht="15.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</row>
    <row r="549" spans="1:103" ht="15.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</row>
    <row r="550" spans="1:103" ht="15.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</row>
    <row r="551" spans="1:103" ht="15.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</row>
    <row r="552" spans="1:103" ht="15.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</row>
    <row r="553" spans="1:103" ht="15.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</row>
    <row r="554" spans="1:103" ht="15.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</row>
    <row r="555" spans="1:103" ht="15.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</row>
    <row r="556" spans="1:103" ht="15.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</row>
    <row r="557" spans="1:103" ht="15.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</row>
    <row r="558" spans="1:103" ht="15.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</row>
    <row r="559" spans="1:103" ht="15.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</row>
    <row r="560" spans="1:103" ht="15.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</row>
    <row r="561" spans="1:103" ht="15.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</row>
    <row r="562" spans="1:103" ht="15.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</row>
    <row r="563" spans="1:103" ht="15.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</row>
    <row r="564" spans="1:103" ht="15.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</row>
    <row r="565" spans="1:103" ht="15.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</row>
    <row r="566" spans="1:103" ht="15.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</row>
    <row r="567" spans="1:103" ht="15.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</row>
    <row r="568" spans="1:103" ht="15.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</row>
    <row r="569" spans="1:103" ht="15.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</row>
    <row r="570" spans="1:103" ht="15.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</row>
    <row r="571" spans="1:103" ht="15.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</row>
    <row r="572" spans="1:103" ht="15.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</row>
    <row r="573" spans="1:103" ht="15.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</row>
    <row r="574" spans="1:103" ht="15.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</row>
    <row r="575" spans="1:103" ht="15.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</row>
    <row r="576" spans="1:103" ht="15.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</row>
    <row r="577" spans="1:103" ht="15.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</row>
    <row r="578" spans="1:103" ht="15.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</row>
    <row r="579" spans="1:103" ht="15.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</row>
    <row r="580" spans="1:103" ht="15.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</row>
    <row r="581" spans="1:103" ht="15.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</row>
    <row r="582" spans="1:103" ht="15.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</row>
    <row r="583" spans="1:103" ht="15.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</row>
    <row r="584" spans="1:103" ht="15.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</row>
    <row r="585" spans="1:103" ht="15.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</row>
    <row r="586" spans="1:103" ht="15.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</row>
    <row r="587" spans="1:103" ht="15.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</row>
    <row r="588" spans="1:103" ht="15.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</row>
    <row r="589" spans="1:103" ht="15.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</row>
    <row r="590" spans="1:103" ht="15.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</row>
    <row r="591" spans="1:103" ht="15.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</row>
    <row r="592" spans="1:103" ht="15.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</row>
    <row r="593" spans="1:103" ht="15.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</row>
    <row r="594" spans="1:103" ht="15.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</row>
    <row r="595" spans="1:103" ht="15.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</row>
    <row r="596" spans="1:103" ht="15.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</row>
    <row r="597" spans="1:103" ht="15.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</row>
    <row r="598" spans="1:103" ht="15.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</row>
    <row r="599" spans="1:103" ht="15.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</row>
    <row r="600" spans="1:103" ht="15.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</row>
    <row r="601" spans="1:103" ht="15.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</row>
    <row r="602" spans="1:103" ht="15.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</row>
    <row r="603" spans="1:103" ht="15.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</row>
    <row r="604" spans="1:103" ht="15.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</row>
    <row r="605" spans="1:103" ht="15.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</row>
    <row r="606" spans="1:103" ht="15.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</row>
    <row r="607" spans="1:103" ht="15.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</row>
    <row r="608" spans="1:103" ht="15.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</row>
    <row r="609" spans="1:103" ht="15.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</row>
    <row r="610" spans="1:103" ht="15.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</row>
    <row r="611" spans="1:103" ht="15.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</row>
    <row r="612" spans="1:103" ht="15.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</row>
    <row r="613" spans="1:103" ht="15.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</row>
    <row r="614" spans="1:103" ht="15.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</row>
    <row r="615" spans="1:103" ht="15.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</row>
    <row r="616" spans="1:103" ht="15.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</row>
    <row r="617" spans="1:103" ht="15.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</row>
    <row r="618" spans="1:103" ht="15.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</row>
    <row r="619" spans="1:103" ht="15.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</row>
    <row r="620" spans="1:103" ht="15.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</row>
    <row r="621" spans="1:103" ht="15.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</row>
    <row r="622" spans="1:103" ht="15.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</row>
    <row r="623" spans="1:103" ht="15.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</row>
    <row r="624" spans="1:103" ht="15.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</row>
    <row r="625" spans="1:103" ht="15.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</row>
    <row r="626" spans="1:103" ht="15.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</row>
    <row r="627" spans="1:103" ht="15.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</row>
    <row r="628" spans="1:103" ht="15.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</row>
    <row r="629" spans="1:103" ht="15.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</row>
    <row r="630" spans="1:103" ht="15.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</row>
    <row r="631" spans="1:103" ht="15.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</row>
    <row r="632" spans="1:103" ht="15.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</row>
    <row r="633" spans="1:103" ht="15.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</row>
    <row r="634" spans="1:103" ht="15.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</row>
    <row r="635" spans="1:103" ht="15.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</row>
    <row r="636" spans="1:103" ht="15.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</row>
    <row r="637" spans="1:103" ht="15.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</row>
    <row r="638" spans="1:103" ht="15.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</row>
    <row r="639" spans="1:103" ht="15.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</row>
    <row r="640" spans="1:103" ht="15.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</row>
    <row r="641" spans="1:103" ht="15.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</row>
    <row r="642" spans="1:103" ht="15.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</row>
    <row r="643" spans="1:103" ht="15.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</row>
    <row r="644" spans="1:103" ht="15.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</row>
    <row r="645" spans="1:103" ht="15.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</row>
    <row r="646" spans="1:103" ht="15.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</row>
    <row r="647" spans="1:103" ht="15.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</row>
    <row r="648" spans="1:103" ht="15.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</row>
    <row r="649" spans="1:103" ht="15.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</row>
    <row r="650" spans="1:103" ht="15.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</row>
    <row r="651" spans="1:103" ht="15.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</row>
    <row r="652" spans="1:103" ht="15.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</row>
    <row r="653" spans="1:103" ht="15.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</row>
    <row r="654" spans="1:103" ht="15.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</row>
    <row r="655" spans="1:103" ht="15.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</row>
    <row r="656" spans="1:103" ht="15.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</row>
    <row r="657" spans="1:103" ht="15.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</row>
    <row r="658" spans="1:103" ht="15.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</row>
    <row r="659" spans="1:103" ht="15.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</row>
    <row r="660" spans="1:103" ht="15.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</row>
    <row r="661" spans="1:103" ht="15.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</row>
    <row r="662" spans="1:103" ht="15.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</row>
    <row r="663" spans="1:103" ht="15.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</row>
    <row r="664" spans="1:103" ht="15.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</row>
    <row r="665" spans="1:103" ht="15.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</row>
    <row r="666" spans="1:103" ht="15.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</row>
    <row r="667" spans="1:103" ht="15.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</row>
    <row r="668" spans="1:103" ht="15.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</row>
    <row r="669" spans="1:103" ht="15.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</row>
    <row r="670" spans="1:103" ht="15.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</row>
    <row r="671" spans="1:103" ht="15.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</row>
    <row r="672" spans="1:103" ht="15.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</row>
    <row r="673" spans="1:103" ht="15.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</row>
    <row r="674" spans="1:103" ht="15.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</row>
    <row r="675" spans="1:103" ht="15.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</row>
    <row r="676" spans="1:103" ht="15.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</row>
    <row r="677" spans="1:103" ht="15.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</row>
    <row r="678" spans="1:103" ht="15.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</row>
    <row r="679" spans="1:103" ht="15.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</row>
    <row r="680" spans="1:103" ht="15.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</row>
    <row r="681" spans="1:103" ht="15.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</row>
    <row r="682" spans="1:103" ht="15.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</row>
    <row r="683" spans="1:103" ht="15.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</row>
    <row r="684" spans="1:103" ht="15.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</row>
    <row r="685" spans="1:103" ht="15.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</row>
    <row r="686" spans="1:103" ht="15.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</row>
    <row r="687" spans="1:103" ht="15.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</row>
    <row r="688" spans="1:103" ht="15.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</row>
    <row r="689" spans="1:103" ht="15.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</row>
    <row r="690" spans="1:103" ht="15.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</row>
    <row r="691" spans="1:103" ht="15.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</row>
    <row r="692" spans="1:103" ht="15.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</row>
    <row r="693" spans="1:103" ht="15.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</row>
    <row r="694" spans="1:103" ht="15.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</row>
    <row r="695" spans="1:103" ht="15.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</row>
    <row r="696" spans="1:103" ht="15.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</row>
    <row r="697" spans="1:103" ht="15.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</row>
    <row r="698" spans="1:103" ht="15.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</row>
    <row r="699" spans="1:103" ht="15.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</row>
    <row r="700" spans="1:103" ht="15.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</row>
    <row r="701" spans="1:103" ht="15.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</row>
    <row r="702" spans="1:103" ht="15.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</row>
    <row r="703" spans="1:103" ht="15.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</row>
    <row r="704" spans="1:103" ht="15.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</row>
    <row r="705" spans="1:103" ht="15.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</row>
    <row r="706" spans="1:103" ht="15.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</row>
    <row r="707" spans="1:103" ht="15.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</row>
    <row r="708" spans="1:103" ht="15.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</row>
    <row r="709" spans="1:103" ht="15.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</row>
    <row r="710" spans="1:103" ht="15.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</row>
    <row r="711" spans="1:103" ht="15.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</row>
    <row r="712" spans="1:103" ht="15.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</row>
    <row r="713" spans="1:103" ht="15.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</row>
    <row r="714" spans="1:103" ht="15.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</row>
    <row r="715" spans="1:103" ht="15.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</row>
    <row r="716" spans="1:103" ht="15.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</row>
    <row r="717" spans="1:103" ht="15.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</row>
    <row r="718" spans="1:103" ht="15.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</row>
    <row r="719" spans="1:103" ht="15.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</row>
    <row r="720" spans="1:103" ht="15.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</row>
    <row r="721" spans="1:103" ht="15.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</row>
    <row r="722" spans="1:103" ht="15.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</row>
    <row r="723" spans="1:103" ht="15.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</row>
    <row r="724" spans="1:103" ht="15.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</row>
    <row r="725" spans="1:103" ht="15.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</row>
    <row r="726" spans="1:103" ht="15.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</row>
    <row r="727" spans="1:103" ht="15.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</row>
    <row r="728" spans="1:103" ht="15.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</row>
    <row r="729" spans="1:103" ht="15.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</row>
    <row r="730" spans="1:103" ht="15.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</row>
    <row r="731" spans="1:103" ht="15.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</row>
    <row r="732" spans="1:103" ht="15.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</row>
    <row r="733" spans="1:103" ht="15.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</row>
    <row r="734" spans="1:103" ht="15.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</row>
    <row r="735" spans="1:103" ht="15.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</row>
    <row r="736" spans="1:103" ht="15.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</row>
    <row r="737" spans="1:103" ht="15.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</row>
    <row r="738" spans="1:103" ht="15.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</row>
    <row r="739" spans="1:103" ht="15.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</row>
    <row r="740" spans="1:103" ht="15.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</row>
    <row r="741" spans="1:103" ht="15.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</row>
    <row r="742" spans="1:103" ht="15.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</row>
    <row r="743" spans="1:103" ht="15.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</row>
    <row r="744" spans="1:103" ht="15.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</row>
    <row r="745" spans="1:103" ht="15.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</row>
    <row r="746" spans="1:103" ht="15.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</row>
    <row r="747" spans="1:103" ht="15.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</row>
    <row r="748" spans="1:103" ht="15.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</row>
    <row r="749" spans="1:103" ht="15.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</row>
    <row r="750" spans="1:103" ht="15.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</row>
    <row r="751" spans="1:103" ht="15.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</row>
    <row r="752" spans="1:103" ht="15.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</row>
    <row r="753" spans="1:103" ht="15.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</row>
    <row r="754" spans="1:103" ht="15.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</row>
    <row r="755" spans="1:103" ht="15.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</row>
    <row r="756" spans="1:103" ht="15.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</row>
    <row r="757" spans="1:103" ht="15.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</row>
    <row r="758" spans="1:103" ht="15.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</row>
    <row r="759" spans="1:103" ht="15.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</row>
    <row r="760" spans="1:103" ht="15.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</row>
    <row r="761" spans="1:103" ht="15.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</row>
    <row r="762" spans="1:103" ht="15.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</row>
    <row r="763" spans="1:103" ht="15.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</row>
    <row r="764" spans="1:103" ht="15.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</row>
    <row r="765" spans="1:103" ht="15.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</row>
    <row r="766" spans="1:103" ht="15.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</row>
    <row r="767" spans="1:103" ht="15.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</row>
    <row r="768" spans="1:103" ht="15.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</row>
    <row r="769" spans="1:103" ht="15.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</row>
    <row r="770" spans="1:103" ht="15.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</row>
    <row r="771" spans="1:103" ht="15.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</row>
    <row r="772" spans="1:103" ht="15.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</row>
    <row r="773" spans="1:103" ht="15.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</row>
    <row r="774" spans="1:103" ht="15.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</row>
    <row r="775" spans="1:103" ht="15.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</row>
    <row r="776" spans="1:103" ht="15.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</row>
    <row r="777" spans="1:103" ht="15.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</row>
    <row r="778" spans="1:103" ht="15.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</row>
    <row r="779" spans="1:103" ht="15.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</row>
    <row r="780" spans="1:103" ht="15.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</row>
    <row r="781" spans="1:103" ht="15.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</row>
    <row r="782" spans="1:103" ht="15.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</row>
    <row r="783" spans="1:103" ht="15.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</row>
    <row r="784" spans="1:103" ht="15.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</row>
    <row r="785" spans="1:103" ht="15.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</row>
    <row r="786" spans="1:103" ht="15.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</row>
    <row r="787" spans="1:103" ht="15.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</row>
    <row r="788" spans="1:103" ht="15.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</row>
    <row r="789" spans="1:103" ht="15.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</row>
    <row r="790" spans="1:103" ht="15.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</row>
    <row r="791" spans="1:103" ht="15.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</row>
    <row r="792" spans="1:103" ht="15.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</row>
    <row r="793" spans="1:103" ht="15.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</row>
    <row r="794" spans="1:103" ht="15.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</row>
    <row r="795" spans="1:103" ht="15.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</row>
    <row r="796" spans="1:103" ht="15.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</row>
    <row r="797" spans="1:103" ht="15.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</row>
    <row r="798" spans="1:103" ht="15.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</row>
    <row r="799" spans="1:103" ht="15.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</row>
    <row r="800" spans="1:103" ht="15.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</row>
    <row r="801" spans="1:103" ht="15.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</row>
    <row r="802" spans="1:103" ht="15.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</row>
    <row r="803" spans="1:103" ht="15.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</row>
    <row r="804" spans="1:103" ht="15.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</row>
    <row r="805" spans="1:103" ht="15.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</row>
    <row r="806" spans="1:103" ht="15.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</row>
    <row r="807" spans="1:103" ht="15.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</row>
    <row r="808" spans="1:103" ht="15.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</row>
    <row r="809" spans="1:103" ht="15.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</row>
    <row r="810" spans="1:103" ht="15.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</row>
    <row r="811" spans="1:103" ht="15.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</row>
    <row r="812" spans="1:103" ht="15.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</row>
    <row r="813" spans="1:103" ht="15.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</row>
    <row r="814" spans="1:103" ht="15.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</row>
    <row r="815" spans="1:103" ht="15.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</row>
    <row r="816" spans="1:103" ht="15.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</row>
    <row r="817" spans="1:103" ht="15.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</row>
    <row r="818" spans="1:103" ht="15.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</row>
    <row r="819" spans="1:103" ht="15.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</row>
    <row r="820" spans="1:103" ht="15.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</row>
    <row r="821" spans="1:103" ht="15.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</row>
    <row r="822" spans="1:103" ht="15.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</row>
    <row r="823" spans="1:103" ht="15.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</row>
    <row r="824" spans="1:103" ht="15.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</row>
    <row r="825" spans="1:103" ht="15.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</row>
    <row r="826" spans="1:103" ht="15.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</row>
    <row r="827" spans="1:103" ht="15.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</row>
    <row r="828" spans="1:103" ht="15.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</row>
    <row r="829" spans="1:103" ht="15.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</row>
    <row r="830" spans="1:103" ht="15.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</row>
    <row r="831" spans="1:103" ht="15.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</row>
    <row r="832" spans="1:103" ht="15.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</row>
    <row r="833" spans="1:103" ht="15.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</row>
    <row r="834" spans="1:103" ht="15.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</row>
    <row r="835" spans="1:103" ht="15.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</row>
    <row r="836" spans="1:103" ht="15.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</row>
    <row r="837" spans="1:103" ht="15.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</row>
    <row r="838" spans="1:103" ht="15.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</row>
    <row r="839" spans="1:103" ht="15.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</row>
    <row r="840" spans="1:103" ht="15.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</row>
    <row r="841" spans="1:103" ht="15.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</row>
    <row r="842" spans="1:103" ht="15.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</row>
    <row r="843" spans="1:103" ht="15.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</row>
    <row r="844" spans="1:103" ht="15.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</row>
    <row r="845" spans="1:103" ht="15.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</row>
    <row r="846" spans="1:103" ht="15.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</row>
    <row r="847" spans="1:103" ht="15.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</row>
    <row r="848" spans="1:103" ht="15.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</row>
    <row r="849" spans="1:103" ht="15.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</row>
    <row r="850" spans="1:103" ht="15.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</row>
    <row r="851" spans="1:103" ht="15.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</row>
    <row r="852" spans="1:103" ht="15.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</row>
    <row r="853" spans="1:103" ht="15.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</row>
    <row r="854" spans="1:103" ht="15.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</row>
    <row r="855" spans="1:103" ht="15.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</row>
    <row r="856" spans="1:103" ht="15.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</row>
    <row r="857" spans="1:103" ht="15.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</row>
    <row r="858" spans="1:103" ht="15.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</row>
    <row r="859" spans="1:103" ht="15.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</row>
    <row r="860" spans="1:103" ht="15.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</row>
    <row r="861" spans="1:103" ht="15.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</row>
    <row r="862" spans="1:103" ht="15.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</row>
    <row r="863" spans="1:103" ht="15.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</row>
    <row r="864" spans="1:103" ht="15.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</row>
    <row r="865" spans="1:103" ht="15.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</row>
    <row r="866" spans="1:103" ht="15.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</row>
    <row r="867" spans="1:103" ht="15.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</row>
    <row r="868" spans="1:103" ht="15.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</row>
    <row r="869" spans="1:103" ht="15.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</row>
    <row r="870" spans="1:103" ht="15.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</row>
    <row r="871" spans="1:103" ht="15.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</row>
    <row r="872" spans="1:103" ht="15.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</row>
    <row r="873" spans="1:103" ht="15.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</row>
    <row r="874" spans="1:103" ht="15.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</row>
    <row r="875" spans="1:103" ht="15.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</row>
    <row r="876" spans="1:103" ht="15.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</row>
    <row r="877" spans="1:103" ht="15.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</row>
    <row r="878" spans="1:103" ht="15.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</row>
    <row r="879" spans="1:103" ht="15.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</row>
    <row r="880" spans="1:103" ht="15.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</row>
    <row r="881" spans="1:103" ht="15.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</row>
    <row r="882" spans="1:103" ht="15.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</row>
    <row r="883" spans="1:103" ht="15.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</row>
    <row r="884" spans="1:103" ht="15.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</row>
    <row r="885" spans="1:103" ht="15.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</row>
    <row r="886" spans="1:103" ht="15.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</row>
    <row r="887" spans="1:103" ht="15.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</row>
    <row r="888" spans="1:103" ht="15.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</row>
    <row r="889" spans="1:103" ht="15.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</row>
    <row r="890" spans="1:103" ht="15.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</row>
    <row r="891" spans="1:103" ht="15.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</row>
    <row r="892" spans="1:103" ht="15.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</row>
    <row r="893" spans="1:103" ht="15.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</row>
    <row r="894" spans="1:103" ht="15.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</row>
    <row r="895" spans="1:103" ht="15.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</row>
    <row r="896" spans="1:103" ht="15.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</row>
    <row r="897" spans="1:103" ht="15.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</row>
    <row r="898" spans="1:103" ht="15.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</row>
    <row r="899" spans="1:103" ht="15.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</row>
    <row r="900" spans="1:103" ht="15.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</row>
    <row r="901" spans="1:103" ht="15.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</row>
    <row r="902" spans="1:103" ht="15.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</row>
    <row r="903" spans="1:103" ht="15.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</row>
    <row r="904" spans="1:103" ht="15.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</row>
    <row r="905" spans="1:103" ht="15.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</row>
    <row r="906" spans="1:103" ht="15.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</row>
    <row r="907" spans="1:103" ht="15.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</row>
    <row r="908" spans="1:103" ht="15.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</row>
    <row r="909" spans="1:103" ht="15.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</row>
    <row r="910" spans="1:103" ht="15.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</row>
    <row r="911" spans="1:103" ht="15.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</row>
    <row r="912" spans="1:103" ht="15.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</row>
    <row r="913" spans="1:103" ht="15.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</row>
    <row r="914" spans="1:103" ht="15.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</row>
    <row r="915" spans="1:103" ht="15.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</row>
    <row r="916" spans="1:103" ht="15.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</row>
    <row r="917" spans="1:103" ht="15.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</row>
    <row r="918" spans="1:103" ht="15.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</row>
    <row r="919" spans="1:103" ht="15.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</row>
    <row r="920" spans="1:103" ht="15.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</row>
    <row r="921" spans="1:103" ht="15.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</row>
    <row r="922" spans="1:103" ht="15.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</row>
    <row r="923" spans="1:103" ht="15.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</row>
    <row r="924" spans="1:103" ht="15.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</row>
    <row r="925" spans="1:103" ht="15.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</row>
    <row r="926" spans="1:103" ht="15.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</row>
    <row r="927" spans="1:103" ht="15.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</row>
    <row r="928" spans="1:103" ht="15.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</row>
    <row r="929" spans="1:103" ht="15.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</row>
    <row r="930" spans="1:103" ht="15.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</row>
    <row r="931" spans="1:103" ht="15.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</row>
    <row r="932" spans="1:103" ht="15.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</row>
    <row r="933" spans="1:103" ht="15.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</row>
    <row r="934" spans="1:103" ht="15.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</row>
    <row r="935" spans="1:103" ht="15.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</row>
    <row r="936" spans="1:103" ht="15.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</row>
    <row r="937" spans="1:103" ht="15.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</row>
    <row r="938" spans="1:103" ht="15.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</row>
    <row r="939" spans="1:103" ht="15.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</row>
    <row r="940" spans="1:103" ht="15.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</row>
    <row r="941" spans="1:103" ht="15.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</row>
    <row r="942" spans="1:103" ht="15.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</row>
    <row r="943" spans="1:103" ht="15.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</row>
    <row r="944" spans="1:103" ht="15.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</row>
    <row r="945" spans="1:103" ht="15.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</row>
    <row r="946" spans="1:103" ht="15.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</row>
    <row r="947" spans="1:103" ht="15.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</row>
    <row r="948" spans="1:103" ht="15.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</row>
    <row r="949" spans="1:103" ht="15.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</row>
    <row r="950" spans="1:103" ht="15.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</row>
    <row r="951" spans="1:103" ht="15.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</row>
    <row r="952" spans="1:103" ht="15.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</row>
    <row r="953" spans="1:103" ht="15.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</row>
    <row r="954" spans="1:103" ht="15.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</row>
    <row r="955" spans="1:103" ht="15.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</row>
    <row r="956" spans="1:103" ht="15.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</row>
    <row r="957" spans="1:103" ht="15.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</row>
    <row r="958" spans="1:103" ht="15.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</row>
    <row r="959" spans="1:103" ht="15.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</row>
    <row r="960" spans="1:103" ht="15.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</row>
    <row r="961" spans="1:103" ht="15.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</row>
    <row r="962" spans="1:103" ht="15.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</row>
    <row r="963" spans="1:103" ht="15.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</row>
    <row r="964" spans="1:103" ht="15.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</row>
    <row r="965" spans="1:103" ht="15.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</row>
    <row r="966" spans="1:103" ht="15.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</row>
    <row r="967" spans="1:103" ht="15.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</row>
    <row r="968" spans="1:103" ht="15.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</row>
    <row r="969" spans="1:103" ht="15.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</row>
    <row r="970" spans="1:103" ht="15.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</row>
    <row r="971" spans="1:103" ht="15.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</row>
    <row r="972" spans="1:103" ht="15.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</row>
    <row r="973" spans="1:103" ht="15.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</row>
    <row r="974" spans="1:103" ht="15.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</row>
    <row r="975" spans="1:103" ht="15.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</row>
    <row r="976" spans="1:103" ht="15.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</row>
    <row r="977" spans="1:103" ht="15.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</row>
    <row r="978" spans="1:103" ht="15.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</row>
    <row r="979" spans="1:103" ht="15.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</row>
    <row r="980" spans="1:103" ht="15.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</row>
    <row r="981" spans="1:103" ht="15.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</row>
    <row r="982" spans="1:103" ht="15.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</row>
    <row r="983" spans="1:103" ht="15.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</row>
    <row r="984" spans="1:103" ht="15.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</row>
    <row r="985" spans="1:103" ht="15.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</row>
    <row r="986" spans="1:103" ht="15.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</row>
    <row r="987" spans="1:103" ht="15.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</row>
    <row r="988" spans="1:103" ht="15.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</row>
    <row r="989" spans="1:103" ht="15.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</row>
    <row r="990" spans="1:103" ht="15.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</row>
    <row r="991" spans="1:103" ht="15.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</row>
    <row r="992" spans="1:103" ht="15.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</row>
    <row r="993" spans="1:103" ht="15.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</row>
    <row r="994" spans="1:103" ht="15.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</row>
    <row r="995" spans="1:103" ht="15.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</row>
    <row r="996" spans="1:103" ht="15.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</row>
    <row r="997" spans="1:103" ht="15.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</row>
    <row r="998" spans="1:103" ht="15.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</row>
    <row r="999" spans="1:103" ht="15.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</row>
    <row r="1000" spans="1:103" ht="15.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</row>
    <row r="1001" spans="1:103" ht="15.6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</row>
    <row r="1002" spans="1:103" ht="15.6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</row>
    <row r="1003" spans="1:103" ht="15.6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</row>
    <row r="1004" spans="1:103" ht="15.6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</row>
    <row r="1005" spans="1:103" ht="15.6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</row>
    <row r="1006" spans="1:103" ht="15.6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</row>
    <row r="1007" spans="1:103" ht="15.6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</row>
    <row r="1008" spans="1:103" ht="15.6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</row>
    <row r="1009" spans="1:103" ht="15.6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</row>
    <row r="1010" spans="1:103" ht="15.6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</row>
    <row r="1011" spans="1:103" ht="15.6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</row>
    <row r="1012" spans="1:103" ht="15.6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</row>
    <row r="1013" spans="1:103" ht="15.6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</row>
    <row r="1014" spans="1:103" ht="15.6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</row>
    <row r="1015" spans="1:103" ht="15.6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</row>
    <row r="1016" spans="1:103" ht="15.6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</row>
    <row r="1017" spans="1:103" ht="15.6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</row>
    <row r="1018" spans="1:103" ht="15.6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</row>
    <row r="1019" spans="1:103" ht="15.6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</row>
    <row r="1020" spans="1:103" ht="15.6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</row>
    <row r="1021" spans="1:103" ht="15.6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</row>
    <row r="1022" spans="1:103" ht="15.6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</row>
    <row r="1023" spans="1:103" ht="15.6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</row>
    <row r="1024" spans="1:103" ht="15.6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</row>
    <row r="1025" spans="1:103" ht="15.6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</row>
    <row r="1026" spans="1:103" ht="15.6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</row>
    <row r="1027" spans="1:103" ht="15.6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</row>
    <row r="1028" spans="1:103" ht="15.6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</row>
    <row r="1029" spans="1:103" ht="15.6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</row>
    <row r="1030" spans="1:103" ht="15.6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</row>
    <row r="1031" spans="1:103" ht="15.6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</row>
    <row r="1032" spans="1:103" ht="15.6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</row>
    <row r="1033" spans="1:103" ht="15.6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</row>
    <row r="1034" spans="1:103" ht="15.6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</row>
    <row r="1035" spans="1:103" ht="15.6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</row>
    <row r="1036" spans="1:103" ht="15.6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</row>
    <row r="1037" spans="1:103" ht="15.6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</row>
    <row r="1038" spans="1:103" ht="15.6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</row>
    <row r="1039" spans="1:103" ht="15.6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</row>
    <row r="1040" spans="1:103" ht="15.6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</row>
    <row r="1041" spans="1:103" ht="15.6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</row>
    <row r="1042" spans="1:103" ht="15.6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</row>
    <row r="1043" spans="1:103" ht="15.6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</row>
    <row r="1044" spans="1:103" ht="15.6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</row>
    <row r="1045" spans="1:103" ht="15.6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</row>
    <row r="1046" spans="1:103" ht="15.6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</row>
    <row r="1047" spans="1:103" ht="15.6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</row>
    <row r="1048" spans="1:103" ht="15.6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</row>
    <row r="1049" spans="1:103" ht="15.6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</row>
    <row r="1050" spans="1:103" ht="15.6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</row>
    <row r="1051" spans="1:103" ht="15.6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</row>
  </sheetData>
  <hyperlinks>
    <hyperlink ref="H2" r:id="rId1" xr:uid="{00000000-0004-0000-0D00-000000000000}"/>
    <hyperlink ref="H3" r:id="rId2" xr:uid="{00000000-0004-0000-0D00-000001000000}"/>
    <hyperlink ref="H4" r:id="rId3" xr:uid="{00000000-0004-0000-0D00-000002000000}"/>
    <hyperlink ref="H5" r:id="rId4" xr:uid="{00000000-0004-0000-0D00-000003000000}"/>
    <hyperlink ref="H6" r:id="rId5" xr:uid="{00000000-0004-0000-0D00-000004000000}"/>
    <hyperlink ref="H7" r:id="rId6" xr:uid="{00000000-0004-0000-0D00-000005000000}"/>
    <hyperlink ref="H8" r:id="rId7" xr:uid="{00000000-0004-0000-0D00-000006000000}"/>
    <hyperlink ref="H9" r:id="rId8" xr:uid="{00000000-0004-0000-0D00-000007000000}"/>
    <hyperlink ref="H10" r:id="rId9" xr:uid="{00000000-0004-0000-0D00-000008000000}"/>
    <hyperlink ref="H11" r:id="rId10" xr:uid="{00000000-0004-0000-0D00-000009000000}"/>
    <hyperlink ref="H12" r:id="rId11" xr:uid="{00000000-0004-0000-0D00-00000A000000}"/>
    <hyperlink ref="H13" r:id="rId12" xr:uid="{00000000-0004-0000-0D00-00000B000000}"/>
    <hyperlink ref="H14" r:id="rId13" xr:uid="{00000000-0004-0000-0D00-00000C000000}"/>
    <hyperlink ref="H15" r:id="rId14" xr:uid="{00000000-0004-0000-0D00-00000D000000}"/>
    <hyperlink ref="H16" r:id="rId15" xr:uid="{00000000-0004-0000-0D00-00000E000000}"/>
    <hyperlink ref="H17" r:id="rId16" xr:uid="{00000000-0004-0000-0D00-00000F000000}"/>
    <hyperlink ref="H18" r:id="rId17" xr:uid="{00000000-0004-0000-0D00-000010000000}"/>
    <hyperlink ref="H19" r:id="rId18" xr:uid="{00000000-0004-0000-0D00-000011000000}"/>
    <hyperlink ref="H20" r:id="rId19" xr:uid="{00000000-0004-0000-0D00-000012000000}"/>
    <hyperlink ref="H21" r:id="rId20" xr:uid="{00000000-0004-0000-0D00-000013000000}"/>
    <hyperlink ref="H22" r:id="rId21" xr:uid="{00000000-0004-0000-0D00-000014000000}"/>
    <hyperlink ref="H23" r:id="rId22" xr:uid="{00000000-0004-0000-0D00-000015000000}"/>
    <hyperlink ref="H24" r:id="rId23" xr:uid="{00000000-0004-0000-0D00-000016000000}"/>
    <hyperlink ref="H25" r:id="rId24" xr:uid="{00000000-0004-0000-0D00-000017000000}"/>
    <hyperlink ref="H26" r:id="rId25" xr:uid="{00000000-0004-0000-0D00-000018000000}"/>
    <hyperlink ref="H27" r:id="rId26" xr:uid="{00000000-0004-0000-0D00-000019000000}"/>
    <hyperlink ref="H28" r:id="rId27" xr:uid="{00000000-0004-0000-0D00-00001A000000}"/>
    <hyperlink ref="E29" r:id="rId28" xr:uid="{00000000-0004-0000-0D00-00001B000000}"/>
    <hyperlink ref="H29" r:id="rId29" xr:uid="{00000000-0004-0000-0D00-00001C000000}"/>
    <hyperlink ref="H30" r:id="rId30" xr:uid="{00000000-0004-0000-0D00-00001D000000}"/>
    <hyperlink ref="H31" r:id="rId31" xr:uid="{00000000-0004-0000-0D00-00001E000000}"/>
    <hyperlink ref="H32" r:id="rId32" xr:uid="{00000000-0004-0000-0D00-00001F000000}"/>
    <hyperlink ref="H33" r:id="rId33" xr:uid="{00000000-0004-0000-0D00-000020000000}"/>
    <hyperlink ref="H34" r:id="rId34" xr:uid="{00000000-0004-0000-0D00-000021000000}"/>
    <hyperlink ref="H35" r:id="rId35" xr:uid="{00000000-0004-0000-0D00-000022000000}"/>
    <hyperlink ref="H36" r:id="rId36" xr:uid="{00000000-0004-0000-0D00-000023000000}"/>
    <hyperlink ref="H37" r:id="rId37" xr:uid="{00000000-0004-0000-0D00-000024000000}"/>
    <hyperlink ref="H38" r:id="rId38" xr:uid="{00000000-0004-0000-0D00-000025000000}"/>
    <hyperlink ref="H39" r:id="rId39" xr:uid="{00000000-0004-0000-0D00-000026000000}"/>
    <hyperlink ref="H40" r:id="rId40" xr:uid="{00000000-0004-0000-0D00-000027000000}"/>
    <hyperlink ref="H41" r:id="rId41" xr:uid="{00000000-0004-0000-0D00-000028000000}"/>
    <hyperlink ref="H42" r:id="rId42" xr:uid="{00000000-0004-0000-0D00-000029000000}"/>
    <hyperlink ref="H43" r:id="rId43" xr:uid="{00000000-0004-0000-0D00-00002A000000}"/>
    <hyperlink ref="H44" r:id="rId44" xr:uid="{00000000-0004-0000-0D00-00002B000000}"/>
    <hyperlink ref="H45" r:id="rId45" xr:uid="{00000000-0004-0000-0D00-00002C000000}"/>
    <hyperlink ref="H46" r:id="rId46" xr:uid="{00000000-0004-0000-0D00-00002D000000}"/>
    <hyperlink ref="H47" r:id="rId47" xr:uid="{00000000-0004-0000-0D00-00002E000000}"/>
    <hyperlink ref="H48" r:id="rId48" xr:uid="{00000000-0004-0000-0D00-00002F000000}"/>
    <hyperlink ref="H49" r:id="rId49" xr:uid="{00000000-0004-0000-0D00-000030000000}"/>
    <hyperlink ref="E50" r:id="rId50" xr:uid="{00000000-0004-0000-0D00-000031000000}"/>
    <hyperlink ref="H50" r:id="rId51" xr:uid="{00000000-0004-0000-0D00-000032000000}"/>
    <hyperlink ref="H51" r:id="rId52" xr:uid="{00000000-0004-0000-0D00-000033000000}"/>
    <hyperlink ref="H52" r:id="rId53" xr:uid="{00000000-0004-0000-0D00-000034000000}"/>
    <hyperlink ref="H53" r:id="rId54" xr:uid="{00000000-0004-0000-0D00-000035000000}"/>
    <hyperlink ref="H54" r:id="rId55" xr:uid="{00000000-0004-0000-0D00-000036000000}"/>
    <hyperlink ref="E55" r:id="rId56" xr:uid="{00000000-0004-0000-0D00-000037000000}"/>
    <hyperlink ref="H55" r:id="rId57" xr:uid="{00000000-0004-0000-0D00-000038000000}"/>
    <hyperlink ref="H56" r:id="rId58" xr:uid="{00000000-0004-0000-0D00-000039000000}"/>
    <hyperlink ref="H57" r:id="rId59" xr:uid="{00000000-0004-0000-0D00-00003A000000}"/>
    <hyperlink ref="E58" r:id="rId60" xr:uid="{00000000-0004-0000-0D00-00003B000000}"/>
    <hyperlink ref="H58" r:id="rId61" xr:uid="{00000000-0004-0000-0D00-00003C000000}"/>
    <hyperlink ref="H59" r:id="rId62" xr:uid="{00000000-0004-0000-0D00-00003D000000}"/>
    <hyperlink ref="H60" r:id="rId63" xr:uid="{00000000-0004-0000-0D00-00003E000000}"/>
    <hyperlink ref="H61" r:id="rId64" xr:uid="{00000000-0004-0000-0D00-00003F000000}"/>
    <hyperlink ref="H62" r:id="rId65" xr:uid="{00000000-0004-0000-0D00-000040000000}"/>
    <hyperlink ref="G63" r:id="rId66" xr:uid="{00000000-0004-0000-0D00-000041000000}"/>
    <hyperlink ref="H63" r:id="rId67" xr:uid="{00000000-0004-0000-0D00-000042000000}"/>
    <hyperlink ref="G64" r:id="rId68" xr:uid="{00000000-0004-0000-0D00-000043000000}"/>
    <hyperlink ref="H64" r:id="rId69" xr:uid="{00000000-0004-0000-0D00-000044000000}"/>
    <hyperlink ref="H65" r:id="rId70" xr:uid="{00000000-0004-0000-0D00-000045000000}"/>
    <hyperlink ref="H66" r:id="rId71" xr:uid="{00000000-0004-0000-0D00-000046000000}"/>
    <hyperlink ref="H67" r:id="rId72" xr:uid="{00000000-0004-0000-0D00-000047000000}"/>
    <hyperlink ref="H68" r:id="rId73" xr:uid="{00000000-0004-0000-0D00-000048000000}"/>
    <hyperlink ref="H69" r:id="rId74" xr:uid="{00000000-0004-0000-0D00-000049000000}"/>
    <hyperlink ref="E70" r:id="rId75" xr:uid="{00000000-0004-0000-0D00-00004A000000}"/>
    <hyperlink ref="H70" r:id="rId76" xr:uid="{00000000-0004-0000-0D00-00004B000000}"/>
    <hyperlink ref="H71" r:id="rId77" xr:uid="{00000000-0004-0000-0D00-00004C000000}"/>
    <hyperlink ref="H72" r:id="rId78" xr:uid="{00000000-0004-0000-0D00-00004D000000}"/>
    <hyperlink ref="H73" r:id="rId79" xr:uid="{00000000-0004-0000-0D00-00004E000000}"/>
    <hyperlink ref="H74" r:id="rId80" xr:uid="{00000000-0004-0000-0D00-00004F000000}"/>
    <hyperlink ref="E75" r:id="rId81" xr:uid="{00000000-0004-0000-0D00-000050000000}"/>
    <hyperlink ref="H75" r:id="rId82" xr:uid="{00000000-0004-0000-0D00-000051000000}"/>
    <hyperlink ref="H76" r:id="rId83" xr:uid="{00000000-0004-0000-0D00-000052000000}"/>
    <hyperlink ref="H77" r:id="rId84" xr:uid="{00000000-0004-0000-0D00-000053000000}"/>
    <hyperlink ref="E78" r:id="rId85" xr:uid="{00000000-0004-0000-0D00-000054000000}"/>
    <hyperlink ref="H78" r:id="rId86" xr:uid="{00000000-0004-0000-0D00-000055000000}"/>
    <hyperlink ref="E79" r:id="rId87" xr:uid="{00000000-0004-0000-0D00-000056000000}"/>
    <hyperlink ref="H79" r:id="rId88" xr:uid="{00000000-0004-0000-0D00-000057000000}"/>
    <hyperlink ref="E80" r:id="rId89" xr:uid="{00000000-0004-0000-0D00-000058000000}"/>
    <hyperlink ref="H80" r:id="rId90" xr:uid="{00000000-0004-0000-0D00-000059000000}"/>
    <hyperlink ref="H81" r:id="rId91" xr:uid="{00000000-0004-0000-0D00-00005A000000}"/>
    <hyperlink ref="H82" r:id="rId92" xr:uid="{00000000-0004-0000-0D00-00005B000000}"/>
    <hyperlink ref="E83" r:id="rId93" xr:uid="{00000000-0004-0000-0D00-00005C000000}"/>
    <hyperlink ref="F83" r:id="rId94" xr:uid="{00000000-0004-0000-0D00-00005D000000}"/>
    <hyperlink ref="G83" r:id="rId95" xr:uid="{00000000-0004-0000-0D00-00005E000000}"/>
    <hyperlink ref="H83" r:id="rId96" xr:uid="{00000000-0004-0000-0D00-00005F000000}"/>
    <hyperlink ref="H84" r:id="rId97" xr:uid="{00000000-0004-0000-0D00-000060000000}"/>
    <hyperlink ref="E85" r:id="rId98" xr:uid="{00000000-0004-0000-0D00-000061000000}"/>
    <hyperlink ref="F85" r:id="rId99" xr:uid="{00000000-0004-0000-0D00-000062000000}"/>
    <hyperlink ref="G85" r:id="rId100" xr:uid="{00000000-0004-0000-0D00-000063000000}"/>
    <hyperlink ref="H85" r:id="rId101" xr:uid="{00000000-0004-0000-0D00-000064000000}"/>
    <hyperlink ref="E86" r:id="rId102" xr:uid="{00000000-0004-0000-0D00-000065000000}"/>
    <hyperlink ref="H86" r:id="rId103" xr:uid="{00000000-0004-0000-0D00-000066000000}"/>
    <hyperlink ref="E87" r:id="rId104" xr:uid="{00000000-0004-0000-0D00-000067000000}"/>
    <hyperlink ref="F87" r:id="rId105" xr:uid="{00000000-0004-0000-0D00-000068000000}"/>
    <hyperlink ref="H87" r:id="rId106" xr:uid="{00000000-0004-0000-0D00-000069000000}"/>
    <hyperlink ref="E88" r:id="rId107" xr:uid="{00000000-0004-0000-0D00-00006A000000}"/>
    <hyperlink ref="F88" r:id="rId108" xr:uid="{00000000-0004-0000-0D00-00006B000000}"/>
    <hyperlink ref="H88" r:id="rId109" xr:uid="{00000000-0004-0000-0D00-00006C000000}"/>
    <hyperlink ref="H89" r:id="rId110" xr:uid="{00000000-0004-0000-0D00-00006D000000}"/>
    <hyperlink ref="H90" r:id="rId111" xr:uid="{00000000-0004-0000-0D00-00006E000000}"/>
    <hyperlink ref="H91" r:id="rId112" xr:uid="{00000000-0004-0000-0D00-00006F000000}"/>
    <hyperlink ref="H92" r:id="rId113" xr:uid="{00000000-0004-0000-0D00-000070000000}"/>
    <hyperlink ref="H93" r:id="rId114" xr:uid="{00000000-0004-0000-0D00-000071000000}"/>
    <hyperlink ref="H94" r:id="rId115" xr:uid="{00000000-0004-0000-0D00-000072000000}"/>
    <hyperlink ref="H95" r:id="rId116" xr:uid="{00000000-0004-0000-0D00-000073000000}"/>
    <hyperlink ref="H96" r:id="rId117" xr:uid="{00000000-0004-0000-0D00-000074000000}"/>
    <hyperlink ref="H97" r:id="rId118" xr:uid="{00000000-0004-0000-0D00-000075000000}"/>
    <hyperlink ref="H98" r:id="rId119" xr:uid="{00000000-0004-0000-0D00-000076000000}"/>
    <hyperlink ref="H99" r:id="rId120" xr:uid="{00000000-0004-0000-0D00-000077000000}"/>
    <hyperlink ref="H100" r:id="rId121" xr:uid="{00000000-0004-0000-0D00-000078000000}"/>
    <hyperlink ref="H101" r:id="rId122" xr:uid="{00000000-0004-0000-0D00-000079000000}"/>
    <hyperlink ref="H102" r:id="rId123" xr:uid="{00000000-0004-0000-0D00-00007A000000}"/>
    <hyperlink ref="H103" r:id="rId124" xr:uid="{00000000-0004-0000-0D00-00007B000000}"/>
    <hyperlink ref="H104" r:id="rId125" xr:uid="{00000000-0004-0000-0D00-00007C000000}"/>
    <hyperlink ref="H105" r:id="rId126" xr:uid="{00000000-0004-0000-0D00-00007D000000}"/>
    <hyperlink ref="H106" r:id="rId127" xr:uid="{00000000-0004-0000-0D00-00007E000000}"/>
    <hyperlink ref="H107" r:id="rId128" xr:uid="{00000000-0004-0000-0D00-00007F000000}"/>
    <hyperlink ref="H108" r:id="rId129" xr:uid="{00000000-0004-0000-0D00-000080000000}"/>
    <hyperlink ref="H109" r:id="rId130" xr:uid="{00000000-0004-0000-0D00-000081000000}"/>
    <hyperlink ref="H110" r:id="rId131" xr:uid="{00000000-0004-0000-0D00-000082000000}"/>
    <hyperlink ref="H111" r:id="rId132" xr:uid="{00000000-0004-0000-0D00-000083000000}"/>
    <hyperlink ref="H112" r:id="rId133" xr:uid="{00000000-0004-0000-0D00-000084000000}"/>
    <hyperlink ref="H113" r:id="rId134" xr:uid="{00000000-0004-0000-0D00-000085000000}"/>
    <hyperlink ref="H114" r:id="rId135" xr:uid="{00000000-0004-0000-0D00-000086000000}"/>
    <hyperlink ref="H115" r:id="rId136" xr:uid="{00000000-0004-0000-0D00-00008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J1000"/>
  <sheetViews>
    <sheetView topLeftCell="G1" zoomScale="75" workbookViewId="0">
      <selection activeCell="A116" sqref="A116:C116"/>
      <pivotSelection pane="bottomRight" showHeader="1" extendable="1" start="114" max="115" activeRow="115" click="1" r:id="rId1">
        <pivotArea dataOnly="0" grandRow="1" outline="0" fieldPosition="0"/>
      </pivotSelection>
    </sheetView>
  </sheetViews>
  <sheetFormatPr baseColWidth="10" defaultColWidth="11.19921875" defaultRowHeight="15" customHeight="1" x14ac:dyDescent="0.3"/>
  <cols>
    <col min="1" max="1" width="24.59765625" customWidth="1"/>
    <col min="2" max="2" width="59.796875" customWidth="1"/>
    <col min="3" max="3" width="57.59765625" customWidth="1"/>
    <col min="4" max="4" width="17.8984375" customWidth="1"/>
    <col min="5" max="5" width="21.8984375" customWidth="1"/>
    <col min="7" max="7" width="24.59765625" customWidth="1"/>
    <col min="8" max="8" width="58.8984375" customWidth="1"/>
    <col min="9" max="9" width="57.59765625" customWidth="1"/>
    <col min="10" max="10" width="58.8984375" customWidth="1"/>
  </cols>
  <sheetData>
    <row r="1" spans="1:10" x14ac:dyDescent="0.3">
      <c r="A1" s="41" t="s">
        <v>73</v>
      </c>
      <c r="B1" s="41" t="s">
        <v>1</v>
      </c>
      <c r="C1" s="42" t="s">
        <v>72</v>
      </c>
      <c r="G1" s="41" t="s">
        <v>76</v>
      </c>
      <c r="H1" s="41" t="s">
        <v>1</v>
      </c>
      <c r="I1" s="41" t="s">
        <v>70</v>
      </c>
      <c r="J1" s="42" t="s">
        <v>71</v>
      </c>
    </row>
    <row r="2" spans="1:10" x14ac:dyDescent="0.3">
      <c r="A2" s="43" t="s">
        <v>13</v>
      </c>
      <c r="B2" s="43" t="s">
        <v>135</v>
      </c>
      <c r="C2" s="44" t="s">
        <v>142</v>
      </c>
      <c r="G2" s="43" t="s">
        <v>50</v>
      </c>
      <c r="H2" s="43" t="s">
        <v>135</v>
      </c>
      <c r="I2" s="43" t="s">
        <v>136</v>
      </c>
      <c r="J2" s="44" t="s">
        <v>137</v>
      </c>
    </row>
    <row r="3" spans="1:10" x14ac:dyDescent="0.3">
      <c r="A3" s="45"/>
      <c r="B3" s="45"/>
      <c r="C3" s="49" t="s">
        <v>144</v>
      </c>
      <c r="G3" s="45"/>
      <c r="H3" s="45"/>
      <c r="I3" s="43" t="s">
        <v>155</v>
      </c>
      <c r="J3" s="44" t="s">
        <v>155</v>
      </c>
    </row>
    <row r="4" spans="1:10" x14ac:dyDescent="0.3">
      <c r="A4" s="45"/>
      <c r="B4" s="45"/>
      <c r="C4" s="49" t="s">
        <v>146</v>
      </c>
      <c r="G4" s="45"/>
      <c r="H4" s="43" t="s">
        <v>3</v>
      </c>
      <c r="I4" s="43" t="s">
        <v>121</v>
      </c>
      <c r="J4" s="44" t="s">
        <v>122</v>
      </c>
    </row>
    <row r="5" spans="1:10" x14ac:dyDescent="0.3">
      <c r="A5" s="45"/>
      <c r="B5" s="45"/>
      <c r="C5" s="49" t="s">
        <v>145</v>
      </c>
      <c r="G5" s="45"/>
      <c r="H5" s="45"/>
      <c r="I5" s="45"/>
      <c r="J5" s="49" t="s">
        <v>103</v>
      </c>
    </row>
    <row r="6" spans="1:10" x14ac:dyDescent="0.3">
      <c r="A6" s="45"/>
      <c r="B6" s="45"/>
      <c r="C6" s="49" t="s">
        <v>143</v>
      </c>
      <c r="G6" s="45"/>
      <c r="H6" s="43" t="s">
        <v>2</v>
      </c>
      <c r="I6" s="43" t="s">
        <v>45</v>
      </c>
      <c r="J6" s="44" t="s">
        <v>85</v>
      </c>
    </row>
    <row r="7" spans="1:10" x14ac:dyDescent="0.3">
      <c r="A7" s="45"/>
      <c r="B7" s="45"/>
      <c r="C7" s="49" t="s">
        <v>43</v>
      </c>
      <c r="G7" s="45"/>
      <c r="H7" s="45"/>
      <c r="I7" s="45"/>
      <c r="J7" s="49" t="s">
        <v>84</v>
      </c>
    </row>
    <row r="8" spans="1:10" x14ac:dyDescent="0.3">
      <c r="A8" s="45"/>
      <c r="B8" s="45"/>
      <c r="C8" s="49" t="s">
        <v>141</v>
      </c>
      <c r="G8" s="45"/>
      <c r="H8" s="45"/>
      <c r="I8" s="45"/>
      <c r="J8" s="49" t="s">
        <v>77</v>
      </c>
    </row>
    <row r="9" spans="1:10" x14ac:dyDescent="0.3">
      <c r="A9" s="43" t="s">
        <v>17</v>
      </c>
      <c r="B9" s="43" t="s">
        <v>135</v>
      </c>
      <c r="C9" s="44" t="s">
        <v>152</v>
      </c>
      <c r="G9" s="45"/>
      <c r="H9" s="43" t="s">
        <v>21</v>
      </c>
      <c r="I9" s="43" t="s">
        <v>119</v>
      </c>
      <c r="J9" s="44" t="s">
        <v>120</v>
      </c>
    </row>
    <row r="10" spans="1:10" x14ac:dyDescent="0.3">
      <c r="A10" s="45"/>
      <c r="B10" s="45"/>
      <c r="C10" s="49" t="s">
        <v>39</v>
      </c>
      <c r="G10" s="45"/>
      <c r="H10" s="43" t="s">
        <v>5</v>
      </c>
      <c r="I10" s="43" t="s">
        <v>127</v>
      </c>
      <c r="J10" s="44" t="s">
        <v>130</v>
      </c>
    </row>
    <row r="11" spans="1:10" x14ac:dyDescent="0.3">
      <c r="A11" s="45"/>
      <c r="B11" s="45"/>
      <c r="C11" s="49" t="s">
        <v>153</v>
      </c>
      <c r="G11" s="45"/>
      <c r="H11" s="45"/>
      <c r="I11" s="45"/>
      <c r="J11" s="49" t="s">
        <v>128</v>
      </c>
    </row>
    <row r="12" spans="1:10" x14ac:dyDescent="0.3">
      <c r="A12" s="45"/>
      <c r="B12" s="45"/>
      <c r="C12" s="49" t="s">
        <v>154</v>
      </c>
      <c r="G12" s="45"/>
      <c r="H12" s="43" t="s">
        <v>4</v>
      </c>
      <c r="I12" s="43" t="s">
        <v>106</v>
      </c>
      <c r="J12" s="44" t="s">
        <v>107</v>
      </c>
    </row>
    <row r="13" spans="1:10" x14ac:dyDescent="0.3">
      <c r="A13" s="43" t="s">
        <v>15</v>
      </c>
      <c r="B13" s="43" t="s">
        <v>55</v>
      </c>
      <c r="C13" s="44" t="s">
        <v>98</v>
      </c>
      <c r="G13" s="45"/>
      <c r="H13" s="45"/>
      <c r="I13" s="45"/>
      <c r="J13" s="49" t="s">
        <v>108</v>
      </c>
    </row>
    <row r="14" spans="1:10" x14ac:dyDescent="0.3">
      <c r="A14" s="45"/>
      <c r="B14" s="43" t="s">
        <v>27</v>
      </c>
      <c r="C14" s="44" t="s">
        <v>104</v>
      </c>
      <c r="G14" s="43" t="s">
        <v>162</v>
      </c>
      <c r="H14" s="50"/>
      <c r="I14" s="50"/>
      <c r="J14" s="51"/>
    </row>
    <row r="15" spans="1:10" x14ac:dyDescent="0.3">
      <c r="A15" s="45"/>
      <c r="B15" s="43" t="s">
        <v>4</v>
      </c>
      <c r="C15" s="44" t="s">
        <v>113</v>
      </c>
      <c r="G15" s="43" t="s">
        <v>46</v>
      </c>
      <c r="H15" s="43" t="s">
        <v>135</v>
      </c>
      <c r="I15" s="43" t="s">
        <v>136</v>
      </c>
      <c r="J15" s="44" t="s">
        <v>147</v>
      </c>
    </row>
    <row r="16" spans="1:10" x14ac:dyDescent="0.3">
      <c r="A16" s="43" t="s">
        <v>10</v>
      </c>
      <c r="B16" s="43" t="s">
        <v>135</v>
      </c>
      <c r="C16" s="44" t="s">
        <v>41</v>
      </c>
      <c r="G16" s="45"/>
      <c r="H16" s="45"/>
      <c r="I16" s="45"/>
      <c r="J16" s="49" t="s">
        <v>141</v>
      </c>
    </row>
    <row r="17" spans="1:10" x14ac:dyDescent="0.3">
      <c r="A17" s="45"/>
      <c r="B17" s="45"/>
      <c r="C17" s="49" t="s">
        <v>139</v>
      </c>
      <c r="G17" s="45"/>
      <c r="H17" s="45"/>
      <c r="I17" s="45"/>
      <c r="J17" s="49" t="s">
        <v>151</v>
      </c>
    </row>
    <row r="18" spans="1:10" x14ac:dyDescent="0.3">
      <c r="A18" s="45"/>
      <c r="B18" s="45"/>
      <c r="C18" s="49" t="s">
        <v>138</v>
      </c>
      <c r="G18" s="45"/>
      <c r="H18" s="43" t="s">
        <v>2</v>
      </c>
      <c r="I18" s="43" t="s">
        <v>45</v>
      </c>
      <c r="J18" s="44">
        <v>18792590</v>
      </c>
    </row>
    <row r="19" spans="1:10" x14ac:dyDescent="0.3">
      <c r="A19" s="45"/>
      <c r="B19" s="45"/>
      <c r="C19" s="49" t="s">
        <v>140</v>
      </c>
      <c r="G19" s="45"/>
      <c r="H19" s="43" t="s">
        <v>55</v>
      </c>
      <c r="I19" s="43" t="s">
        <v>97</v>
      </c>
      <c r="J19" s="44">
        <v>1650000</v>
      </c>
    </row>
    <row r="20" spans="1:10" x14ac:dyDescent="0.3">
      <c r="A20" s="45"/>
      <c r="B20" s="45"/>
      <c r="C20" s="49" t="s">
        <v>42</v>
      </c>
      <c r="G20" s="45"/>
      <c r="H20" s="43" t="s">
        <v>27</v>
      </c>
      <c r="I20" s="43" t="s">
        <v>100</v>
      </c>
      <c r="J20" s="44">
        <v>2320000</v>
      </c>
    </row>
    <row r="21" spans="1:10" x14ac:dyDescent="0.3">
      <c r="A21" s="43" t="s">
        <v>7</v>
      </c>
      <c r="B21" s="43" t="s">
        <v>2</v>
      </c>
      <c r="C21" s="44" t="s">
        <v>29</v>
      </c>
      <c r="G21" s="45"/>
      <c r="H21" s="43" t="s">
        <v>4</v>
      </c>
      <c r="I21" s="43" t="s">
        <v>112</v>
      </c>
      <c r="J21" s="44">
        <v>4700000</v>
      </c>
    </row>
    <row r="22" spans="1:10" x14ac:dyDescent="0.3">
      <c r="A22" s="45"/>
      <c r="B22" s="45"/>
      <c r="C22" s="49" t="s">
        <v>81</v>
      </c>
      <c r="G22" s="45"/>
      <c r="H22" s="45"/>
      <c r="I22" s="45"/>
      <c r="J22" s="49" t="s">
        <v>116</v>
      </c>
    </row>
    <row r="23" spans="1:10" x14ac:dyDescent="0.3">
      <c r="A23" s="45"/>
      <c r="B23" s="45"/>
      <c r="C23" s="49" t="s">
        <v>78</v>
      </c>
      <c r="G23" s="43" t="s">
        <v>163</v>
      </c>
      <c r="H23" s="50"/>
      <c r="I23" s="50"/>
      <c r="J23" s="51"/>
    </row>
    <row r="24" spans="1:10" x14ac:dyDescent="0.3">
      <c r="A24" s="45"/>
      <c r="B24" s="45"/>
      <c r="C24" s="49" t="s">
        <v>79</v>
      </c>
      <c r="G24" s="43" t="s">
        <v>52</v>
      </c>
      <c r="H24" s="43" t="s">
        <v>3</v>
      </c>
      <c r="I24" s="43" t="s">
        <v>121</v>
      </c>
      <c r="J24" s="44" t="s">
        <v>25</v>
      </c>
    </row>
    <row r="25" spans="1:10" x14ac:dyDescent="0.3">
      <c r="A25" s="45"/>
      <c r="B25" s="45"/>
      <c r="C25" s="49" t="s">
        <v>30</v>
      </c>
      <c r="G25" s="45"/>
      <c r="H25" s="45"/>
      <c r="I25" s="45"/>
      <c r="J25" s="49" t="s">
        <v>122</v>
      </c>
    </row>
    <row r="26" spans="1:10" x14ac:dyDescent="0.3">
      <c r="A26" s="45"/>
      <c r="B26" s="45"/>
      <c r="C26" s="49" t="s">
        <v>80</v>
      </c>
      <c r="G26" s="45"/>
      <c r="H26" s="43" t="s">
        <v>2</v>
      </c>
      <c r="I26" s="43" t="s">
        <v>45</v>
      </c>
      <c r="J26" s="44" t="s">
        <v>87</v>
      </c>
    </row>
    <row r="27" spans="1:10" x14ac:dyDescent="0.3">
      <c r="A27" s="45"/>
      <c r="B27" s="45"/>
      <c r="C27" s="49" t="s">
        <v>32</v>
      </c>
      <c r="G27" s="45"/>
      <c r="H27" s="43" t="s">
        <v>55</v>
      </c>
      <c r="I27" s="43" t="s">
        <v>91</v>
      </c>
      <c r="J27" s="44" t="s">
        <v>94</v>
      </c>
    </row>
    <row r="28" spans="1:10" x14ac:dyDescent="0.3">
      <c r="A28" s="45"/>
      <c r="B28" s="45"/>
      <c r="C28" s="49" t="s">
        <v>33</v>
      </c>
      <c r="G28" s="45"/>
      <c r="H28" s="45"/>
      <c r="I28" s="45"/>
      <c r="J28" s="49" t="s">
        <v>84</v>
      </c>
    </row>
    <row r="29" spans="1:10" x14ac:dyDescent="0.3">
      <c r="A29" s="45"/>
      <c r="B29" s="45"/>
      <c r="C29" s="49" t="s">
        <v>31</v>
      </c>
      <c r="G29" s="45"/>
      <c r="H29" s="45"/>
      <c r="I29" s="45"/>
      <c r="J29" s="49" t="s">
        <v>93</v>
      </c>
    </row>
    <row r="30" spans="1:10" x14ac:dyDescent="0.3">
      <c r="A30" s="45"/>
      <c r="B30" s="45"/>
      <c r="C30" s="49" t="s">
        <v>86</v>
      </c>
      <c r="G30" s="45"/>
      <c r="H30" s="45"/>
      <c r="I30" s="45"/>
      <c r="J30" s="49" t="s">
        <v>92</v>
      </c>
    </row>
    <row r="31" spans="1:10" x14ac:dyDescent="0.3">
      <c r="A31" s="45"/>
      <c r="B31" s="43" t="s">
        <v>4</v>
      </c>
      <c r="C31" s="44" t="s">
        <v>26</v>
      </c>
      <c r="G31" s="45"/>
      <c r="H31" s="43" t="s">
        <v>28</v>
      </c>
      <c r="I31" s="43" t="s">
        <v>133</v>
      </c>
      <c r="J31" s="44" t="s">
        <v>133</v>
      </c>
    </row>
    <row r="32" spans="1:10" x14ac:dyDescent="0.3">
      <c r="A32" s="45"/>
      <c r="B32" s="45"/>
      <c r="C32" s="49" t="s">
        <v>109</v>
      </c>
      <c r="G32" s="45"/>
      <c r="H32" s="43" t="s">
        <v>27</v>
      </c>
      <c r="I32" s="43" t="s">
        <v>100</v>
      </c>
      <c r="J32" s="44" t="s">
        <v>103</v>
      </c>
    </row>
    <row r="33" spans="1:10" x14ac:dyDescent="0.3">
      <c r="A33" s="45"/>
      <c r="B33" s="45"/>
      <c r="C33" s="49" t="s">
        <v>23</v>
      </c>
      <c r="G33" s="45"/>
      <c r="H33" s="45"/>
      <c r="I33" s="45"/>
      <c r="J33" s="49" t="s">
        <v>101</v>
      </c>
    </row>
    <row r="34" spans="1:10" x14ac:dyDescent="0.3">
      <c r="A34" s="43" t="s">
        <v>18</v>
      </c>
      <c r="B34" s="43" t="s">
        <v>4</v>
      </c>
      <c r="C34" s="44" t="s">
        <v>115</v>
      </c>
      <c r="G34" s="45"/>
      <c r="H34" s="43" t="s">
        <v>4</v>
      </c>
      <c r="I34" s="43" t="s">
        <v>106</v>
      </c>
      <c r="J34" s="44" t="s">
        <v>107</v>
      </c>
    </row>
    <row r="35" spans="1:10" x14ac:dyDescent="0.3">
      <c r="A35" s="43" t="s">
        <v>16</v>
      </c>
      <c r="B35" s="43" t="s">
        <v>55</v>
      </c>
      <c r="C35" s="44" t="s">
        <v>99</v>
      </c>
      <c r="G35" s="46" t="s">
        <v>164</v>
      </c>
      <c r="H35" s="47"/>
      <c r="I35" s="47"/>
      <c r="J35" s="48"/>
    </row>
    <row r="36" spans="1:10" x14ac:dyDescent="0.3">
      <c r="A36" s="45"/>
      <c r="B36" s="43" t="s">
        <v>27</v>
      </c>
      <c r="C36" s="44" t="s">
        <v>105</v>
      </c>
    </row>
    <row r="37" spans="1:10" x14ac:dyDescent="0.3">
      <c r="A37" s="45"/>
      <c r="B37" s="43" t="s">
        <v>4</v>
      </c>
      <c r="C37" s="44" t="s">
        <v>114</v>
      </c>
    </row>
    <row r="38" spans="1:10" x14ac:dyDescent="0.3">
      <c r="A38" s="43" t="s">
        <v>82</v>
      </c>
      <c r="B38" s="43" t="s">
        <v>3</v>
      </c>
      <c r="C38" s="44" t="s">
        <v>126</v>
      </c>
    </row>
    <row r="39" spans="1:10" x14ac:dyDescent="0.3">
      <c r="A39" s="45"/>
      <c r="B39" s="43" t="s">
        <v>21</v>
      </c>
      <c r="C39" s="44" t="s">
        <v>56</v>
      </c>
    </row>
    <row r="40" spans="1:10" x14ac:dyDescent="0.3">
      <c r="A40" s="45"/>
      <c r="B40" s="45"/>
      <c r="C40" s="49" t="s">
        <v>14</v>
      </c>
    </row>
    <row r="41" spans="1:10" x14ac:dyDescent="0.3">
      <c r="A41" s="45"/>
      <c r="B41" s="43" t="s">
        <v>55</v>
      </c>
      <c r="C41" s="44" t="s">
        <v>56</v>
      </c>
    </row>
    <row r="42" spans="1:10" x14ac:dyDescent="0.3">
      <c r="A42" s="45"/>
      <c r="B42" s="45"/>
      <c r="C42" s="49" t="s">
        <v>14</v>
      </c>
    </row>
    <row r="43" spans="1:10" x14ac:dyDescent="0.3">
      <c r="A43" s="45"/>
      <c r="B43" s="43" t="s">
        <v>28</v>
      </c>
      <c r="C43" s="44" t="s">
        <v>14</v>
      </c>
    </row>
    <row r="44" spans="1:10" x14ac:dyDescent="0.3">
      <c r="A44" s="45"/>
      <c r="B44" s="45"/>
      <c r="C44" s="49" t="s">
        <v>24</v>
      </c>
    </row>
    <row r="45" spans="1:10" x14ac:dyDescent="0.3">
      <c r="A45" s="45"/>
      <c r="B45" s="43" t="s">
        <v>27</v>
      </c>
      <c r="C45" s="44" t="s">
        <v>64</v>
      </c>
    </row>
    <row r="46" spans="1:10" x14ac:dyDescent="0.3">
      <c r="A46" s="45"/>
      <c r="B46" s="43" t="s">
        <v>4</v>
      </c>
      <c r="C46" s="44" t="s">
        <v>110</v>
      </c>
    </row>
    <row r="47" spans="1:10" x14ac:dyDescent="0.3">
      <c r="A47" s="45"/>
      <c r="B47" s="45"/>
      <c r="C47" s="49" t="s">
        <v>111</v>
      </c>
    </row>
    <row r="48" spans="1:10" x14ac:dyDescent="0.3">
      <c r="A48" s="43" t="s">
        <v>11</v>
      </c>
      <c r="B48" s="43" t="s">
        <v>3</v>
      </c>
      <c r="C48" s="44" t="s">
        <v>125</v>
      </c>
    </row>
    <row r="49" spans="1:3" x14ac:dyDescent="0.3">
      <c r="A49" s="45"/>
      <c r="B49" s="45"/>
      <c r="C49" s="49" t="s">
        <v>124</v>
      </c>
    </row>
    <row r="50" spans="1:3" x14ac:dyDescent="0.3">
      <c r="A50" s="45"/>
      <c r="B50" s="43" t="s">
        <v>2</v>
      </c>
      <c r="C50" s="44" t="s">
        <v>88</v>
      </c>
    </row>
    <row r="51" spans="1:3" x14ac:dyDescent="0.3">
      <c r="A51" s="45"/>
      <c r="B51" s="45"/>
      <c r="C51" s="49" t="s">
        <v>54</v>
      </c>
    </row>
    <row r="52" spans="1:3" x14ac:dyDescent="0.3">
      <c r="A52" s="45"/>
      <c r="B52" s="45"/>
      <c r="C52" s="49" t="s">
        <v>89</v>
      </c>
    </row>
    <row r="53" spans="1:3" x14ac:dyDescent="0.3">
      <c r="A53" s="45"/>
      <c r="B53" s="45"/>
      <c r="C53" s="49" t="s">
        <v>90</v>
      </c>
    </row>
    <row r="54" spans="1:3" x14ac:dyDescent="0.3">
      <c r="A54" s="45"/>
      <c r="B54" s="43" t="s">
        <v>55</v>
      </c>
      <c r="C54" s="44" t="s">
        <v>58</v>
      </c>
    </row>
    <row r="55" spans="1:3" x14ac:dyDescent="0.3">
      <c r="A55" s="45"/>
      <c r="B55" s="45"/>
      <c r="C55" s="49" t="s">
        <v>59</v>
      </c>
    </row>
    <row r="56" spans="1:3" x14ac:dyDescent="0.3">
      <c r="A56" s="45"/>
      <c r="B56" s="45"/>
      <c r="C56" s="49" t="s">
        <v>57</v>
      </c>
    </row>
    <row r="57" spans="1:3" x14ac:dyDescent="0.3">
      <c r="A57" s="45"/>
      <c r="B57" s="45"/>
      <c r="C57" s="49" t="s">
        <v>60</v>
      </c>
    </row>
    <row r="58" spans="1:3" x14ac:dyDescent="0.3">
      <c r="A58" s="45"/>
      <c r="B58" s="43" t="s">
        <v>27</v>
      </c>
      <c r="C58" s="44" t="s">
        <v>102</v>
      </c>
    </row>
    <row r="59" spans="1:3" x14ac:dyDescent="0.3">
      <c r="A59" s="45"/>
      <c r="B59" s="45"/>
      <c r="C59" s="49" t="s">
        <v>61</v>
      </c>
    </row>
    <row r="60" spans="1:3" x14ac:dyDescent="0.3">
      <c r="A60" s="45"/>
      <c r="B60" s="43" t="s">
        <v>4</v>
      </c>
      <c r="C60" s="44" t="s">
        <v>65</v>
      </c>
    </row>
    <row r="61" spans="1:3" x14ac:dyDescent="0.3">
      <c r="A61" s="45"/>
      <c r="B61" s="45"/>
      <c r="C61" s="49" t="s">
        <v>66</v>
      </c>
    </row>
    <row r="62" spans="1:3" x14ac:dyDescent="0.3">
      <c r="A62" s="45"/>
      <c r="B62" s="45"/>
      <c r="C62" s="49" t="s">
        <v>117</v>
      </c>
    </row>
    <row r="63" spans="1:3" x14ac:dyDescent="0.3">
      <c r="A63" s="45"/>
      <c r="B63" s="45"/>
      <c r="C63" s="49" t="s">
        <v>68</v>
      </c>
    </row>
    <row r="64" spans="1:3" x14ac:dyDescent="0.3">
      <c r="A64" s="45"/>
      <c r="B64" s="45"/>
      <c r="C64" s="49" t="s">
        <v>67</v>
      </c>
    </row>
    <row r="65" spans="1:3" x14ac:dyDescent="0.3">
      <c r="A65" s="43" t="s">
        <v>50</v>
      </c>
      <c r="B65" s="43" t="s">
        <v>3</v>
      </c>
      <c r="C65" s="44" t="s">
        <v>66</v>
      </c>
    </row>
    <row r="66" spans="1:3" x14ac:dyDescent="0.3">
      <c r="A66" s="45"/>
      <c r="B66" s="45"/>
      <c r="C66" s="49" t="s">
        <v>68</v>
      </c>
    </row>
    <row r="67" spans="1:3" x14ac:dyDescent="0.3">
      <c r="A67" s="45"/>
      <c r="B67" s="45"/>
      <c r="C67" s="49" t="s">
        <v>62</v>
      </c>
    </row>
    <row r="68" spans="1:3" x14ac:dyDescent="0.3">
      <c r="A68" s="45"/>
      <c r="B68" s="43" t="s">
        <v>21</v>
      </c>
      <c r="C68" s="44" t="s">
        <v>69</v>
      </c>
    </row>
    <row r="69" spans="1:3" x14ac:dyDescent="0.3">
      <c r="A69" s="45"/>
      <c r="B69" s="43" t="s">
        <v>5</v>
      </c>
      <c r="C69" s="44" t="s">
        <v>129</v>
      </c>
    </row>
    <row r="70" spans="1:3" x14ac:dyDescent="0.3">
      <c r="A70" s="45"/>
      <c r="B70" s="45"/>
      <c r="C70" s="49" t="s">
        <v>131</v>
      </c>
    </row>
    <row r="71" spans="1:3" x14ac:dyDescent="0.3">
      <c r="A71" s="45"/>
      <c r="B71" s="45"/>
      <c r="C71" s="49" t="s">
        <v>132</v>
      </c>
    </row>
    <row r="72" spans="1:3" x14ac:dyDescent="0.3">
      <c r="A72" s="43" t="s">
        <v>12</v>
      </c>
      <c r="B72" s="43" t="s">
        <v>135</v>
      </c>
      <c r="C72" s="44" t="s">
        <v>150</v>
      </c>
    </row>
    <row r="73" spans="1:3" x14ac:dyDescent="0.3">
      <c r="A73" s="45"/>
      <c r="B73" s="45"/>
      <c r="C73" s="49" t="s">
        <v>149</v>
      </c>
    </row>
    <row r="74" spans="1:3" x14ac:dyDescent="0.3">
      <c r="A74" s="45"/>
      <c r="B74" s="45"/>
      <c r="C74" s="49" t="s">
        <v>148</v>
      </c>
    </row>
    <row r="75" spans="1:3" x14ac:dyDescent="0.3">
      <c r="A75" s="43" t="s">
        <v>8</v>
      </c>
      <c r="B75" s="43" t="s">
        <v>55</v>
      </c>
      <c r="C75" s="44" t="s">
        <v>29</v>
      </c>
    </row>
    <row r="76" spans="1:3" x14ac:dyDescent="0.3">
      <c r="A76" s="45"/>
      <c r="B76" s="45"/>
      <c r="C76" s="49" t="s">
        <v>81</v>
      </c>
    </row>
    <row r="77" spans="1:3" x14ac:dyDescent="0.3">
      <c r="A77" s="45"/>
      <c r="B77" s="45"/>
      <c r="C77" s="49" t="s">
        <v>78</v>
      </c>
    </row>
    <row r="78" spans="1:3" x14ac:dyDescent="0.3">
      <c r="A78" s="45"/>
      <c r="B78" s="45"/>
      <c r="C78" s="49" t="s">
        <v>79</v>
      </c>
    </row>
    <row r="79" spans="1:3" x14ac:dyDescent="0.3">
      <c r="A79" s="45"/>
      <c r="B79" s="45"/>
      <c r="C79" s="49" t="s">
        <v>30</v>
      </c>
    </row>
    <row r="80" spans="1:3" x14ac:dyDescent="0.3">
      <c r="A80" s="45"/>
      <c r="B80" s="45"/>
      <c r="C80" s="49" t="s">
        <v>80</v>
      </c>
    </row>
    <row r="81" spans="1:3" x14ac:dyDescent="0.3">
      <c r="A81" s="45"/>
      <c r="B81" s="45"/>
      <c r="C81" s="49" t="s">
        <v>32</v>
      </c>
    </row>
    <row r="82" spans="1:3" x14ac:dyDescent="0.3">
      <c r="A82" s="45"/>
      <c r="B82" s="45"/>
      <c r="C82" s="49" t="s">
        <v>33</v>
      </c>
    </row>
    <row r="83" spans="1:3" x14ac:dyDescent="0.3">
      <c r="A83" s="45"/>
      <c r="B83" s="45"/>
      <c r="C83" s="49" t="s">
        <v>95</v>
      </c>
    </row>
    <row r="84" spans="1:3" x14ac:dyDescent="0.3">
      <c r="A84" s="45"/>
      <c r="B84" s="45"/>
      <c r="C84" s="49" t="s">
        <v>31</v>
      </c>
    </row>
    <row r="85" spans="1:3" x14ac:dyDescent="0.3">
      <c r="A85" s="45"/>
      <c r="B85" s="43" t="s">
        <v>27</v>
      </c>
      <c r="C85" s="44" t="s">
        <v>63</v>
      </c>
    </row>
    <row r="86" spans="1:3" x14ac:dyDescent="0.3">
      <c r="A86" s="43" t="s">
        <v>34</v>
      </c>
      <c r="B86" s="43" t="s">
        <v>2</v>
      </c>
      <c r="C86" s="44" t="s">
        <v>35</v>
      </c>
    </row>
    <row r="87" spans="1:3" x14ac:dyDescent="0.3">
      <c r="A87" s="45"/>
      <c r="B87" s="45"/>
      <c r="C87" s="49" t="s">
        <v>38</v>
      </c>
    </row>
    <row r="88" spans="1:3" x14ac:dyDescent="0.3">
      <c r="A88" s="45"/>
      <c r="B88" s="45"/>
      <c r="C88" s="49" t="s">
        <v>36</v>
      </c>
    </row>
    <row r="89" spans="1:3" x14ac:dyDescent="0.3">
      <c r="A89" s="45"/>
      <c r="B89" s="45"/>
      <c r="C89" s="49" t="s">
        <v>37</v>
      </c>
    </row>
    <row r="90" spans="1:3" x14ac:dyDescent="0.3">
      <c r="A90" s="43" t="s">
        <v>6</v>
      </c>
      <c r="B90" s="43" t="s">
        <v>135</v>
      </c>
      <c r="C90" s="44" t="s">
        <v>160</v>
      </c>
    </row>
    <row r="91" spans="1:3" x14ac:dyDescent="0.3">
      <c r="A91" s="45"/>
      <c r="B91" s="45"/>
      <c r="C91" s="49" t="s">
        <v>157</v>
      </c>
    </row>
    <row r="92" spans="1:3" x14ac:dyDescent="0.3">
      <c r="A92" s="45"/>
      <c r="B92" s="45"/>
      <c r="C92" s="49" t="s">
        <v>159</v>
      </c>
    </row>
    <row r="93" spans="1:3" x14ac:dyDescent="0.3">
      <c r="A93" s="45"/>
      <c r="B93" s="45"/>
      <c r="C93" s="49" t="s">
        <v>158</v>
      </c>
    </row>
    <row r="94" spans="1:3" x14ac:dyDescent="0.3">
      <c r="A94" s="45"/>
      <c r="B94" s="45"/>
      <c r="C94" s="49" t="s">
        <v>156</v>
      </c>
    </row>
    <row r="95" spans="1:3" x14ac:dyDescent="0.3">
      <c r="A95" s="45"/>
      <c r="B95" s="45"/>
      <c r="C95" s="49" t="s">
        <v>161</v>
      </c>
    </row>
    <row r="96" spans="1:3" x14ac:dyDescent="0.3">
      <c r="A96" s="43" t="s">
        <v>9</v>
      </c>
      <c r="B96" s="43" t="s">
        <v>2</v>
      </c>
      <c r="C96" s="44" t="s">
        <v>29</v>
      </c>
    </row>
    <row r="97" spans="1:3" x14ac:dyDescent="0.3">
      <c r="A97" s="45"/>
      <c r="B97" s="45"/>
      <c r="C97" s="49" t="s">
        <v>81</v>
      </c>
    </row>
    <row r="98" spans="1:3" x14ac:dyDescent="0.3">
      <c r="A98" s="45"/>
      <c r="B98" s="45"/>
      <c r="C98" s="49" t="s">
        <v>78</v>
      </c>
    </row>
    <row r="99" spans="1:3" x14ac:dyDescent="0.3">
      <c r="A99" s="45"/>
      <c r="B99" s="45"/>
      <c r="C99" s="49" t="s">
        <v>79</v>
      </c>
    </row>
    <row r="100" spans="1:3" x14ac:dyDescent="0.3">
      <c r="A100" s="45"/>
      <c r="B100" s="45"/>
      <c r="C100" s="49" t="s">
        <v>30</v>
      </c>
    </row>
    <row r="101" spans="1:3" x14ac:dyDescent="0.3">
      <c r="A101" s="45"/>
      <c r="B101" s="45"/>
      <c r="C101" s="49" t="s">
        <v>80</v>
      </c>
    </row>
    <row r="102" spans="1:3" x14ac:dyDescent="0.3">
      <c r="A102" s="45"/>
      <c r="B102" s="45"/>
      <c r="C102" s="49" t="s">
        <v>32</v>
      </c>
    </row>
    <row r="103" spans="1:3" x14ac:dyDescent="0.3">
      <c r="A103" s="45"/>
      <c r="B103" s="45"/>
      <c r="C103" s="49" t="s">
        <v>33</v>
      </c>
    </row>
    <row r="104" spans="1:3" x14ac:dyDescent="0.3">
      <c r="A104" s="45"/>
      <c r="B104" s="45"/>
      <c r="C104" s="49" t="s">
        <v>31</v>
      </c>
    </row>
    <row r="105" spans="1:3" x14ac:dyDescent="0.3">
      <c r="A105" s="43" t="s">
        <v>46</v>
      </c>
      <c r="B105" s="43" t="s">
        <v>2</v>
      </c>
      <c r="C105" s="44">
        <v>18792590</v>
      </c>
    </row>
    <row r="106" spans="1:3" x14ac:dyDescent="0.3">
      <c r="A106" s="45"/>
      <c r="B106" s="43" t="s">
        <v>55</v>
      </c>
      <c r="C106" s="44">
        <v>1650000</v>
      </c>
    </row>
    <row r="107" spans="1:3" x14ac:dyDescent="0.3">
      <c r="A107" s="45"/>
      <c r="B107" s="43" t="s">
        <v>27</v>
      </c>
      <c r="C107" s="44">
        <v>2320000</v>
      </c>
    </row>
    <row r="108" spans="1:3" x14ac:dyDescent="0.3">
      <c r="A108" s="45"/>
      <c r="B108" s="43" t="s">
        <v>4</v>
      </c>
      <c r="C108" s="44">
        <v>4700000</v>
      </c>
    </row>
    <row r="109" spans="1:3" x14ac:dyDescent="0.3">
      <c r="A109" s="45"/>
      <c r="B109" s="45"/>
      <c r="C109" s="49" t="s">
        <v>118</v>
      </c>
    </row>
    <row r="110" spans="1:3" x14ac:dyDescent="0.3">
      <c r="A110" s="43" t="s">
        <v>96</v>
      </c>
      <c r="B110" s="43" t="s">
        <v>55</v>
      </c>
      <c r="C110" s="44" t="s">
        <v>35</v>
      </c>
    </row>
    <row r="111" spans="1:3" x14ac:dyDescent="0.3">
      <c r="A111" s="45"/>
      <c r="B111" s="45"/>
      <c r="C111" s="49" t="s">
        <v>38</v>
      </c>
    </row>
    <row r="112" spans="1:3" x14ac:dyDescent="0.3">
      <c r="A112" s="45"/>
      <c r="B112" s="45"/>
      <c r="C112" s="49" t="s">
        <v>36</v>
      </c>
    </row>
    <row r="113" spans="1:6" x14ac:dyDescent="0.3">
      <c r="A113" s="45"/>
      <c r="B113" s="45"/>
      <c r="C113" s="49" t="s">
        <v>37</v>
      </c>
    </row>
    <row r="114" spans="1:6" x14ac:dyDescent="0.3">
      <c r="A114" s="43" t="s">
        <v>52</v>
      </c>
      <c r="B114" s="43" t="s">
        <v>28</v>
      </c>
      <c r="C114" s="44" t="s">
        <v>134</v>
      </c>
    </row>
    <row r="115" spans="1:6" x14ac:dyDescent="0.3">
      <c r="A115" s="45"/>
      <c r="B115" s="43" t="s">
        <v>27</v>
      </c>
      <c r="C115" s="44" t="s">
        <v>62</v>
      </c>
    </row>
    <row r="116" spans="1:6" x14ac:dyDescent="0.3">
      <c r="A116" s="46" t="s">
        <v>166</v>
      </c>
      <c r="B116" s="47"/>
      <c r="C116" s="48"/>
    </row>
    <row r="117" spans="1:6" x14ac:dyDescent="0.3">
      <c r="F117" s="39"/>
    </row>
    <row r="118" spans="1:6" x14ac:dyDescent="0.3">
      <c r="F118" s="39"/>
    </row>
    <row r="119" spans="1:6" x14ac:dyDescent="0.3">
      <c r="F119" s="39"/>
    </row>
    <row r="120" spans="1:6" x14ac:dyDescent="0.3">
      <c r="F120" s="39"/>
    </row>
    <row r="121" spans="1:6" x14ac:dyDescent="0.3">
      <c r="F121" s="39"/>
    </row>
    <row r="122" spans="1:6" x14ac:dyDescent="0.3">
      <c r="F122" s="39"/>
    </row>
    <row r="123" spans="1:6" x14ac:dyDescent="0.3">
      <c r="F123" s="39"/>
    </row>
    <row r="124" spans="1:6" x14ac:dyDescent="0.3">
      <c r="F124" s="39"/>
    </row>
    <row r="125" spans="1:6" x14ac:dyDescent="0.3">
      <c r="F125" s="39"/>
    </row>
    <row r="126" spans="1:6" x14ac:dyDescent="0.3">
      <c r="F126" s="39"/>
    </row>
    <row r="127" spans="1:6" x14ac:dyDescent="0.3">
      <c r="F127" s="39"/>
    </row>
    <row r="128" spans="1:6" x14ac:dyDescent="0.3">
      <c r="F128" s="39"/>
    </row>
    <row r="129" spans="6:6" x14ac:dyDescent="0.3">
      <c r="F129" s="39"/>
    </row>
    <row r="130" spans="6:6" x14ac:dyDescent="0.3">
      <c r="F130" s="39"/>
    </row>
    <row r="131" spans="6:6" x14ac:dyDescent="0.3">
      <c r="F131" s="39"/>
    </row>
    <row r="132" spans="6:6" x14ac:dyDescent="0.3">
      <c r="F132" s="39"/>
    </row>
    <row r="133" spans="6:6" x14ac:dyDescent="0.3">
      <c r="F133" s="39"/>
    </row>
    <row r="134" spans="6:6" x14ac:dyDescent="0.3">
      <c r="F134" s="39"/>
    </row>
    <row r="135" spans="6:6" x14ac:dyDescent="0.3">
      <c r="F135" s="39"/>
    </row>
    <row r="136" spans="6:6" x14ac:dyDescent="0.3">
      <c r="F136" s="39"/>
    </row>
    <row r="137" spans="6:6" x14ac:dyDescent="0.3">
      <c r="F137" s="39"/>
    </row>
    <row r="138" spans="6:6" x14ac:dyDescent="0.3">
      <c r="F138" s="39"/>
    </row>
    <row r="139" spans="6:6" x14ac:dyDescent="0.3">
      <c r="F139" s="39"/>
    </row>
    <row r="140" spans="6:6" x14ac:dyDescent="0.3">
      <c r="F140" s="39"/>
    </row>
    <row r="141" spans="6:6" x14ac:dyDescent="0.3">
      <c r="F141" s="39"/>
    </row>
    <row r="142" spans="6:6" x14ac:dyDescent="0.3">
      <c r="F142" s="39"/>
    </row>
    <row r="143" spans="6:6" x14ac:dyDescent="0.3">
      <c r="F143" s="39"/>
    </row>
    <row r="144" spans="6:6" x14ac:dyDescent="0.3">
      <c r="F144" s="39"/>
    </row>
    <row r="145" spans="6:6" x14ac:dyDescent="0.3">
      <c r="F145" s="39"/>
    </row>
    <row r="146" spans="6:6" x14ac:dyDescent="0.3">
      <c r="F146" s="39"/>
    </row>
    <row r="147" spans="6:6" x14ac:dyDescent="0.3">
      <c r="F147" s="39"/>
    </row>
    <row r="148" spans="6:6" x14ac:dyDescent="0.3">
      <c r="F148" s="39"/>
    </row>
    <row r="149" spans="6:6" x14ac:dyDescent="0.3">
      <c r="F149" s="39"/>
    </row>
    <row r="150" spans="6:6" x14ac:dyDescent="0.3">
      <c r="F150" s="39"/>
    </row>
    <row r="151" spans="6:6" x14ac:dyDescent="0.3">
      <c r="F151" s="39"/>
    </row>
    <row r="152" spans="6:6" x14ac:dyDescent="0.3">
      <c r="F152" s="39"/>
    </row>
    <row r="153" spans="6:6" x14ac:dyDescent="0.3">
      <c r="F153" s="39"/>
    </row>
    <row r="154" spans="6:6" x14ac:dyDescent="0.3">
      <c r="F154" s="39"/>
    </row>
    <row r="155" spans="6:6" x14ac:dyDescent="0.3">
      <c r="F155" s="39"/>
    </row>
    <row r="156" spans="6:6" x14ac:dyDescent="0.3">
      <c r="F156" s="39"/>
    </row>
    <row r="157" spans="6:6" x14ac:dyDescent="0.3">
      <c r="F157" s="39"/>
    </row>
    <row r="158" spans="6:6" x14ac:dyDescent="0.3">
      <c r="F158" s="39"/>
    </row>
    <row r="159" spans="6:6" x14ac:dyDescent="0.3">
      <c r="F159" s="39"/>
    </row>
    <row r="160" spans="6:6" x14ac:dyDescent="0.3">
      <c r="F160" s="39"/>
    </row>
    <row r="161" spans="6:6" x14ac:dyDescent="0.3">
      <c r="F161" s="39"/>
    </row>
    <row r="162" spans="6:6" x14ac:dyDescent="0.3">
      <c r="F162" s="39"/>
    </row>
    <row r="163" spans="6:6" x14ac:dyDescent="0.3">
      <c r="F163" s="39"/>
    </row>
    <row r="164" spans="6:6" x14ac:dyDescent="0.3">
      <c r="F164" s="39"/>
    </row>
    <row r="165" spans="6:6" x14ac:dyDescent="0.3">
      <c r="F165" s="39"/>
    </row>
    <row r="166" spans="6:6" x14ac:dyDescent="0.3">
      <c r="F166" s="39"/>
    </row>
    <row r="167" spans="6:6" x14ac:dyDescent="0.3">
      <c r="F167" s="39"/>
    </row>
    <row r="168" spans="6:6" x14ac:dyDescent="0.3">
      <c r="F168" s="39"/>
    </row>
    <row r="169" spans="6:6" x14ac:dyDescent="0.3">
      <c r="F169" s="39"/>
    </row>
    <row r="170" spans="6:6" x14ac:dyDescent="0.3">
      <c r="F170" s="39"/>
    </row>
    <row r="171" spans="6:6" x14ac:dyDescent="0.3">
      <c r="F171" s="39"/>
    </row>
    <row r="172" spans="6:6" x14ac:dyDescent="0.3">
      <c r="F172" s="39"/>
    </row>
    <row r="173" spans="6:6" x14ac:dyDescent="0.3">
      <c r="F173" s="39"/>
    </row>
    <row r="174" spans="6:6" x14ac:dyDescent="0.3">
      <c r="F174" s="39"/>
    </row>
    <row r="175" spans="6:6" x14ac:dyDescent="0.3">
      <c r="F175" s="39"/>
    </row>
    <row r="176" spans="6:6" x14ac:dyDescent="0.3">
      <c r="F176" s="39"/>
    </row>
    <row r="177" spans="6:6" x14ac:dyDescent="0.3">
      <c r="F177" s="39"/>
    </row>
    <row r="178" spans="6:6" x14ac:dyDescent="0.3">
      <c r="F178" s="39"/>
    </row>
    <row r="179" spans="6:6" x14ac:dyDescent="0.3">
      <c r="F179" s="39"/>
    </row>
    <row r="180" spans="6:6" x14ac:dyDescent="0.3">
      <c r="F180" s="39"/>
    </row>
    <row r="181" spans="6:6" x14ac:dyDescent="0.3">
      <c r="F181" s="39"/>
    </row>
    <row r="182" spans="6:6" x14ac:dyDescent="0.3">
      <c r="F182" s="39"/>
    </row>
    <row r="183" spans="6:6" x14ac:dyDescent="0.3">
      <c r="F183" s="39"/>
    </row>
    <row r="184" spans="6:6" x14ac:dyDescent="0.3">
      <c r="F184" s="39"/>
    </row>
    <row r="185" spans="6:6" x14ac:dyDescent="0.3">
      <c r="F185" s="39"/>
    </row>
    <row r="186" spans="6:6" x14ac:dyDescent="0.3">
      <c r="F186" s="39"/>
    </row>
    <row r="187" spans="6:6" x14ac:dyDescent="0.3">
      <c r="F187" s="39"/>
    </row>
    <row r="188" spans="6:6" x14ac:dyDescent="0.3">
      <c r="F188" s="39"/>
    </row>
    <row r="189" spans="6:6" x14ac:dyDescent="0.3">
      <c r="F189" s="39"/>
    </row>
    <row r="190" spans="6:6" x14ac:dyDescent="0.3">
      <c r="F190" s="39"/>
    </row>
    <row r="191" spans="6:6" x14ac:dyDescent="0.3">
      <c r="F191" s="39"/>
    </row>
    <row r="192" spans="6:6" x14ac:dyDescent="0.3">
      <c r="F192" s="39"/>
    </row>
    <row r="193" spans="6:6" x14ac:dyDescent="0.3">
      <c r="F193" s="39"/>
    </row>
    <row r="194" spans="6:6" x14ac:dyDescent="0.3">
      <c r="F194" s="39"/>
    </row>
    <row r="195" spans="6:6" x14ac:dyDescent="0.3">
      <c r="F195" s="39"/>
    </row>
    <row r="196" spans="6:6" x14ac:dyDescent="0.3">
      <c r="F196" s="39"/>
    </row>
    <row r="197" spans="6:6" x14ac:dyDescent="0.3">
      <c r="F197" s="39"/>
    </row>
    <row r="198" spans="6:6" x14ac:dyDescent="0.3">
      <c r="F198" s="39"/>
    </row>
    <row r="199" spans="6:6" x14ac:dyDescent="0.3">
      <c r="F199" s="39"/>
    </row>
    <row r="200" spans="6:6" x14ac:dyDescent="0.3">
      <c r="F200" s="39"/>
    </row>
    <row r="201" spans="6:6" x14ac:dyDescent="0.3">
      <c r="F201" s="39"/>
    </row>
    <row r="202" spans="6:6" x14ac:dyDescent="0.3">
      <c r="F202" s="39"/>
    </row>
    <row r="203" spans="6:6" x14ac:dyDescent="0.3">
      <c r="F203" s="39"/>
    </row>
    <row r="204" spans="6:6" x14ac:dyDescent="0.3">
      <c r="F204" s="39"/>
    </row>
    <row r="205" spans="6:6" x14ac:dyDescent="0.3">
      <c r="F205" s="39"/>
    </row>
    <row r="206" spans="6:6" x14ac:dyDescent="0.3">
      <c r="F206" s="39"/>
    </row>
    <row r="207" spans="6:6" x14ac:dyDescent="0.3">
      <c r="F207" s="39"/>
    </row>
    <row r="208" spans="6:6" x14ac:dyDescent="0.3">
      <c r="F208" s="39"/>
    </row>
    <row r="209" spans="6:6" x14ac:dyDescent="0.3">
      <c r="F209" s="39"/>
    </row>
    <row r="210" spans="6:6" x14ac:dyDescent="0.3">
      <c r="F210" s="39"/>
    </row>
    <row r="211" spans="6:6" x14ac:dyDescent="0.3">
      <c r="F211" s="39"/>
    </row>
    <row r="212" spans="6:6" x14ac:dyDescent="0.3">
      <c r="F212" s="39"/>
    </row>
    <row r="213" spans="6:6" x14ac:dyDescent="0.3">
      <c r="F213" s="39"/>
    </row>
    <row r="214" spans="6:6" x14ac:dyDescent="0.3">
      <c r="F214" s="39"/>
    </row>
    <row r="215" spans="6:6" x14ac:dyDescent="0.3">
      <c r="F215" s="39"/>
    </row>
    <row r="216" spans="6:6" x14ac:dyDescent="0.3">
      <c r="F216" s="39"/>
    </row>
    <row r="217" spans="6:6" x14ac:dyDescent="0.3">
      <c r="F217" s="39"/>
    </row>
    <row r="218" spans="6:6" x14ac:dyDescent="0.3">
      <c r="F218" s="39"/>
    </row>
    <row r="219" spans="6:6" x14ac:dyDescent="0.3">
      <c r="F219" s="39"/>
    </row>
    <row r="220" spans="6:6" x14ac:dyDescent="0.3">
      <c r="F220" s="39"/>
    </row>
    <row r="221" spans="6:6" x14ac:dyDescent="0.3">
      <c r="F221" s="39"/>
    </row>
    <row r="222" spans="6:6" x14ac:dyDescent="0.3">
      <c r="F222" s="39"/>
    </row>
    <row r="223" spans="6:6" x14ac:dyDescent="0.3">
      <c r="F223" s="39"/>
    </row>
    <row r="224" spans="6:6" x14ac:dyDescent="0.3">
      <c r="F224" s="39"/>
    </row>
    <row r="225" spans="6:6" x14ac:dyDescent="0.3">
      <c r="F225" s="39"/>
    </row>
    <row r="226" spans="6:6" x14ac:dyDescent="0.3">
      <c r="F226" s="39"/>
    </row>
    <row r="227" spans="6:6" x14ac:dyDescent="0.3">
      <c r="F227" s="39"/>
    </row>
    <row r="228" spans="6:6" x14ac:dyDescent="0.3">
      <c r="F228" s="39"/>
    </row>
    <row r="229" spans="6:6" x14ac:dyDescent="0.3">
      <c r="F229" s="39"/>
    </row>
    <row r="230" spans="6:6" x14ac:dyDescent="0.3">
      <c r="F230" s="39"/>
    </row>
    <row r="231" spans="6:6" x14ac:dyDescent="0.3">
      <c r="F231" s="39"/>
    </row>
    <row r="232" spans="6:6" x14ac:dyDescent="0.3">
      <c r="F232" s="39"/>
    </row>
    <row r="233" spans="6:6" x14ac:dyDescent="0.3">
      <c r="F233" s="39"/>
    </row>
    <row r="234" spans="6:6" x14ac:dyDescent="0.3">
      <c r="F234" s="39"/>
    </row>
    <row r="235" spans="6:6" x14ac:dyDescent="0.3">
      <c r="F235" s="39"/>
    </row>
    <row r="236" spans="6:6" x14ac:dyDescent="0.3">
      <c r="F236" s="39"/>
    </row>
    <row r="237" spans="6:6" x14ac:dyDescent="0.3">
      <c r="F237" s="39"/>
    </row>
    <row r="238" spans="6:6" x14ac:dyDescent="0.3">
      <c r="F238" s="39"/>
    </row>
    <row r="239" spans="6:6" x14ac:dyDescent="0.3">
      <c r="F239" s="39"/>
    </row>
    <row r="240" spans="6:6" x14ac:dyDescent="0.3">
      <c r="F240" s="39"/>
    </row>
    <row r="241" spans="6:6" x14ac:dyDescent="0.3">
      <c r="F241" s="39"/>
    </row>
    <row r="242" spans="6:6" x14ac:dyDescent="0.3">
      <c r="F242" s="39"/>
    </row>
    <row r="243" spans="6:6" x14ac:dyDescent="0.3">
      <c r="F243" s="39"/>
    </row>
    <row r="244" spans="6:6" x14ac:dyDescent="0.3">
      <c r="F244" s="39"/>
    </row>
    <row r="245" spans="6:6" x14ac:dyDescent="0.3">
      <c r="F245" s="39"/>
    </row>
    <row r="246" spans="6:6" x14ac:dyDescent="0.3">
      <c r="F246" s="39"/>
    </row>
    <row r="247" spans="6:6" x14ac:dyDescent="0.3">
      <c r="F247" s="39"/>
    </row>
    <row r="248" spans="6:6" x14ac:dyDescent="0.3">
      <c r="F248" s="39"/>
    </row>
    <row r="249" spans="6:6" x14ac:dyDescent="0.3">
      <c r="F249" s="39"/>
    </row>
    <row r="250" spans="6:6" x14ac:dyDescent="0.3">
      <c r="F250" s="39"/>
    </row>
    <row r="251" spans="6:6" x14ac:dyDescent="0.3">
      <c r="F251" s="39"/>
    </row>
    <row r="252" spans="6:6" x14ac:dyDescent="0.3">
      <c r="F252" s="39"/>
    </row>
    <row r="253" spans="6:6" x14ac:dyDescent="0.3">
      <c r="F253" s="39"/>
    </row>
    <row r="254" spans="6:6" x14ac:dyDescent="0.3">
      <c r="F254" s="39"/>
    </row>
    <row r="255" spans="6:6" x14ac:dyDescent="0.3">
      <c r="F255" s="39"/>
    </row>
    <row r="256" spans="6:6" x14ac:dyDescent="0.3">
      <c r="F256" s="39"/>
    </row>
    <row r="257" spans="6:6" x14ac:dyDescent="0.3">
      <c r="F257" s="39"/>
    </row>
    <row r="258" spans="6:6" x14ac:dyDescent="0.3">
      <c r="F258" s="39"/>
    </row>
    <row r="259" spans="6:6" x14ac:dyDescent="0.3">
      <c r="F259" s="39"/>
    </row>
    <row r="260" spans="6:6" x14ac:dyDescent="0.3">
      <c r="F260" s="39"/>
    </row>
    <row r="261" spans="6:6" x14ac:dyDescent="0.3">
      <c r="F261" s="39"/>
    </row>
    <row r="262" spans="6:6" x14ac:dyDescent="0.3">
      <c r="F262" s="39"/>
    </row>
    <row r="263" spans="6:6" x14ac:dyDescent="0.3">
      <c r="F263" s="39"/>
    </row>
    <row r="264" spans="6:6" x14ac:dyDescent="0.3">
      <c r="F264" s="39"/>
    </row>
    <row r="265" spans="6:6" x14ac:dyDescent="0.3">
      <c r="F265" s="39"/>
    </row>
    <row r="266" spans="6:6" x14ac:dyDescent="0.3">
      <c r="F266" s="39"/>
    </row>
    <row r="267" spans="6:6" x14ac:dyDescent="0.3">
      <c r="F267" s="39"/>
    </row>
    <row r="268" spans="6:6" x14ac:dyDescent="0.3">
      <c r="F268" s="39"/>
    </row>
    <row r="269" spans="6:6" x14ac:dyDescent="0.3">
      <c r="F269" s="39"/>
    </row>
    <row r="270" spans="6:6" x14ac:dyDescent="0.3">
      <c r="F270" s="39"/>
    </row>
    <row r="271" spans="6:6" x14ac:dyDescent="0.3">
      <c r="F271" s="39"/>
    </row>
    <row r="272" spans="6:6" x14ac:dyDescent="0.3">
      <c r="F272" s="39"/>
    </row>
    <row r="273" spans="6:6" x14ac:dyDescent="0.3">
      <c r="F273" s="39"/>
    </row>
    <row r="274" spans="6:6" x14ac:dyDescent="0.3">
      <c r="F274" s="39"/>
    </row>
    <row r="275" spans="6:6" x14ac:dyDescent="0.3">
      <c r="F275" s="39"/>
    </row>
    <row r="276" spans="6:6" x14ac:dyDescent="0.3">
      <c r="F276" s="39"/>
    </row>
    <row r="277" spans="6:6" x14ac:dyDescent="0.3">
      <c r="F277" s="39"/>
    </row>
    <row r="278" spans="6:6" x14ac:dyDescent="0.3">
      <c r="F278" s="39"/>
    </row>
    <row r="279" spans="6:6" x14ac:dyDescent="0.3">
      <c r="F279" s="39"/>
    </row>
    <row r="280" spans="6:6" x14ac:dyDescent="0.3">
      <c r="F280" s="39"/>
    </row>
    <row r="281" spans="6:6" x14ac:dyDescent="0.3">
      <c r="F281" s="39"/>
    </row>
    <row r="282" spans="6:6" x14ac:dyDescent="0.3">
      <c r="F282" s="39"/>
    </row>
    <row r="283" spans="6:6" x14ac:dyDescent="0.3">
      <c r="F283" s="39"/>
    </row>
    <row r="284" spans="6:6" x14ac:dyDescent="0.3">
      <c r="F284" s="39"/>
    </row>
    <row r="285" spans="6:6" x14ac:dyDescent="0.3">
      <c r="F285" s="39"/>
    </row>
    <row r="286" spans="6:6" x14ac:dyDescent="0.3">
      <c r="F286" s="39"/>
    </row>
    <row r="287" spans="6:6" x14ac:dyDescent="0.3">
      <c r="F287" s="39"/>
    </row>
    <row r="288" spans="6:6" x14ac:dyDescent="0.3">
      <c r="F288" s="39"/>
    </row>
    <row r="289" spans="6:6" x14ac:dyDescent="0.3">
      <c r="F289" s="39"/>
    </row>
    <row r="290" spans="6:6" x14ac:dyDescent="0.3">
      <c r="F290" s="39"/>
    </row>
    <row r="291" spans="6:6" x14ac:dyDescent="0.3">
      <c r="F291" s="39"/>
    </row>
    <row r="292" spans="6:6" x14ac:dyDescent="0.3">
      <c r="F292" s="39"/>
    </row>
    <row r="293" spans="6:6" x14ac:dyDescent="0.3">
      <c r="F293" s="39"/>
    </row>
    <row r="294" spans="6:6" x14ac:dyDescent="0.3">
      <c r="F294" s="39"/>
    </row>
    <row r="295" spans="6:6" x14ac:dyDescent="0.3">
      <c r="F295" s="39"/>
    </row>
    <row r="296" spans="6:6" x14ac:dyDescent="0.3">
      <c r="F296" s="39"/>
    </row>
    <row r="297" spans="6:6" x14ac:dyDescent="0.3">
      <c r="F297" s="39"/>
    </row>
    <row r="298" spans="6:6" x14ac:dyDescent="0.3">
      <c r="F298" s="39"/>
    </row>
    <row r="299" spans="6:6" x14ac:dyDescent="0.3">
      <c r="F299" s="39"/>
    </row>
    <row r="300" spans="6:6" x14ac:dyDescent="0.3">
      <c r="F300" s="39"/>
    </row>
    <row r="301" spans="6:6" x14ac:dyDescent="0.3">
      <c r="F301" s="39"/>
    </row>
    <row r="302" spans="6:6" x14ac:dyDescent="0.3">
      <c r="F302" s="39"/>
    </row>
    <row r="303" spans="6:6" x14ac:dyDescent="0.3">
      <c r="F303" s="39"/>
    </row>
    <row r="304" spans="6:6" x14ac:dyDescent="0.3">
      <c r="F304" s="39"/>
    </row>
    <row r="305" spans="6:6" x14ac:dyDescent="0.3">
      <c r="F305" s="39"/>
    </row>
    <row r="306" spans="6:6" x14ac:dyDescent="0.3">
      <c r="F306" s="39"/>
    </row>
    <row r="307" spans="6:6" x14ac:dyDescent="0.3">
      <c r="F307" s="39"/>
    </row>
    <row r="308" spans="6:6" x14ac:dyDescent="0.3">
      <c r="F308" s="39"/>
    </row>
    <row r="309" spans="6:6" x14ac:dyDescent="0.3">
      <c r="F309" s="39"/>
    </row>
    <row r="310" spans="6:6" x14ac:dyDescent="0.3">
      <c r="F310" s="39"/>
    </row>
    <row r="311" spans="6:6" x14ac:dyDescent="0.3">
      <c r="F311" s="39"/>
    </row>
    <row r="312" spans="6:6" x14ac:dyDescent="0.3">
      <c r="F312" s="39"/>
    </row>
    <row r="313" spans="6:6" x14ac:dyDescent="0.3">
      <c r="F313" s="39"/>
    </row>
    <row r="314" spans="6:6" x14ac:dyDescent="0.3">
      <c r="F314" s="39"/>
    </row>
    <row r="315" spans="6:6" x14ac:dyDescent="0.3">
      <c r="F315" s="39"/>
    </row>
    <row r="316" spans="6:6" x14ac:dyDescent="0.3">
      <c r="F316" s="39"/>
    </row>
    <row r="317" spans="6:6" x14ac:dyDescent="0.3">
      <c r="F317" s="39"/>
    </row>
    <row r="318" spans="6:6" x14ac:dyDescent="0.3">
      <c r="F318" s="39"/>
    </row>
    <row r="319" spans="6:6" x14ac:dyDescent="0.3">
      <c r="F319" s="39"/>
    </row>
    <row r="320" spans="6:6" x14ac:dyDescent="0.3">
      <c r="F320" s="39"/>
    </row>
    <row r="321" spans="6:6" x14ac:dyDescent="0.3">
      <c r="F321" s="39"/>
    </row>
    <row r="322" spans="6:6" x14ac:dyDescent="0.3">
      <c r="F322" s="39"/>
    </row>
    <row r="323" spans="6:6" x14ac:dyDescent="0.3">
      <c r="F323" s="39"/>
    </row>
    <row r="324" spans="6:6" x14ac:dyDescent="0.3">
      <c r="F324" s="39"/>
    </row>
    <row r="325" spans="6:6" x14ac:dyDescent="0.3">
      <c r="F325" s="39"/>
    </row>
    <row r="326" spans="6:6" x14ac:dyDescent="0.3">
      <c r="F326" s="39"/>
    </row>
    <row r="327" spans="6:6" x14ac:dyDescent="0.3">
      <c r="F327" s="39"/>
    </row>
    <row r="328" spans="6:6" x14ac:dyDescent="0.3">
      <c r="F328" s="39"/>
    </row>
    <row r="329" spans="6:6" x14ac:dyDescent="0.3">
      <c r="F329" s="39"/>
    </row>
    <row r="330" spans="6:6" x14ac:dyDescent="0.3">
      <c r="F330" s="39"/>
    </row>
    <row r="331" spans="6:6" x14ac:dyDescent="0.3">
      <c r="F331" s="39"/>
    </row>
    <row r="332" spans="6:6" x14ac:dyDescent="0.3">
      <c r="F332" s="39"/>
    </row>
    <row r="333" spans="6:6" x14ac:dyDescent="0.3">
      <c r="F333" s="39"/>
    </row>
    <row r="334" spans="6:6" x14ac:dyDescent="0.3">
      <c r="F334" s="39"/>
    </row>
    <row r="335" spans="6:6" x14ac:dyDescent="0.3">
      <c r="F335" s="39"/>
    </row>
    <row r="336" spans="6:6" x14ac:dyDescent="0.3">
      <c r="F336" s="39"/>
    </row>
    <row r="337" spans="6:6" x14ac:dyDescent="0.3">
      <c r="F337" s="39"/>
    </row>
    <row r="338" spans="6:6" x14ac:dyDescent="0.3">
      <c r="F338" s="39"/>
    </row>
    <row r="339" spans="6:6" x14ac:dyDescent="0.3">
      <c r="F339" s="39"/>
    </row>
    <row r="340" spans="6:6" x14ac:dyDescent="0.3">
      <c r="F340" s="39"/>
    </row>
    <row r="341" spans="6:6" x14ac:dyDescent="0.3">
      <c r="F341" s="39"/>
    </row>
    <row r="342" spans="6:6" x14ac:dyDescent="0.3">
      <c r="F342" s="39"/>
    </row>
    <row r="343" spans="6:6" x14ac:dyDescent="0.3">
      <c r="F343" s="39"/>
    </row>
    <row r="344" spans="6:6" x14ac:dyDescent="0.3">
      <c r="F344" s="39"/>
    </row>
    <row r="345" spans="6:6" x14ac:dyDescent="0.3">
      <c r="F345" s="39"/>
    </row>
    <row r="346" spans="6:6" x14ac:dyDescent="0.3">
      <c r="F346" s="39"/>
    </row>
    <row r="347" spans="6:6" x14ac:dyDescent="0.3">
      <c r="F347" s="39"/>
    </row>
    <row r="348" spans="6:6" x14ac:dyDescent="0.3">
      <c r="F348" s="39"/>
    </row>
    <row r="349" spans="6:6" x14ac:dyDescent="0.3">
      <c r="F349" s="39"/>
    </row>
    <row r="350" spans="6:6" x14ac:dyDescent="0.3">
      <c r="F350" s="39"/>
    </row>
    <row r="351" spans="6:6" x14ac:dyDescent="0.3">
      <c r="F351" s="39"/>
    </row>
    <row r="352" spans="6:6" x14ac:dyDescent="0.3">
      <c r="F352" s="39"/>
    </row>
    <row r="353" spans="6:6" x14ac:dyDescent="0.3">
      <c r="F353" s="39"/>
    </row>
    <row r="354" spans="6:6" x14ac:dyDescent="0.3">
      <c r="F354" s="39"/>
    </row>
    <row r="355" spans="6:6" x14ac:dyDescent="0.3">
      <c r="F355" s="39"/>
    </row>
    <row r="356" spans="6:6" x14ac:dyDescent="0.3">
      <c r="F356" s="39"/>
    </row>
    <row r="357" spans="6:6" x14ac:dyDescent="0.3">
      <c r="F357" s="39"/>
    </row>
    <row r="358" spans="6:6" x14ac:dyDescent="0.3">
      <c r="F358" s="39"/>
    </row>
    <row r="359" spans="6:6" x14ac:dyDescent="0.3">
      <c r="F359" s="39"/>
    </row>
    <row r="360" spans="6:6" x14ac:dyDescent="0.3">
      <c r="F360" s="39"/>
    </row>
    <row r="361" spans="6:6" x14ac:dyDescent="0.3">
      <c r="F361" s="39"/>
    </row>
    <row r="362" spans="6:6" x14ac:dyDescent="0.3">
      <c r="F362" s="39"/>
    </row>
    <row r="363" spans="6:6" x14ac:dyDescent="0.3">
      <c r="F363" s="39"/>
    </row>
    <row r="364" spans="6:6" x14ac:dyDescent="0.3">
      <c r="F364" s="39"/>
    </row>
    <row r="365" spans="6:6" x14ac:dyDescent="0.3">
      <c r="F365" s="39"/>
    </row>
    <row r="366" spans="6:6" x14ac:dyDescent="0.3">
      <c r="F366" s="39"/>
    </row>
    <row r="367" spans="6:6" x14ac:dyDescent="0.3">
      <c r="F367" s="39"/>
    </row>
    <row r="368" spans="6:6" x14ac:dyDescent="0.3">
      <c r="F368" s="39"/>
    </row>
    <row r="369" spans="6:6" x14ac:dyDescent="0.3">
      <c r="F369" s="39"/>
    </row>
    <row r="370" spans="6:6" x14ac:dyDescent="0.3">
      <c r="F370" s="39"/>
    </row>
    <row r="371" spans="6:6" x14ac:dyDescent="0.3">
      <c r="F371" s="39"/>
    </row>
    <row r="372" spans="6:6" x14ac:dyDescent="0.3">
      <c r="F372" s="39"/>
    </row>
    <row r="373" spans="6:6" x14ac:dyDescent="0.3">
      <c r="F373" s="39"/>
    </row>
    <row r="374" spans="6:6" x14ac:dyDescent="0.3">
      <c r="F374" s="39"/>
    </row>
    <row r="375" spans="6:6" x14ac:dyDescent="0.3">
      <c r="F375" s="39"/>
    </row>
    <row r="376" spans="6:6" x14ac:dyDescent="0.3">
      <c r="F376" s="39"/>
    </row>
    <row r="377" spans="6:6" x14ac:dyDescent="0.3">
      <c r="F377" s="39"/>
    </row>
    <row r="378" spans="6:6" x14ac:dyDescent="0.3">
      <c r="F378" s="39"/>
    </row>
    <row r="379" spans="6:6" x14ac:dyDescent="0.3">
      <c r="F379" s="39"/>
    </row>
    <row r="380" spans="6:6" x14ac:dyDescent="0.3">
      <c r="F380" s="39"/>
    </row>
    <row r="381" spans="6:6" x14ac:dyDescent="0.3">
      <c r="F381" s="39"/>
    </row>
    <row r="382" spans="6:6" x14ac:dyDescent="0.3">
      <c r="F382" s="39"/>
    </row>
    <row r="383" spans="6:6" x14ac:dyDescent="0.3">
      <c r="F383" s="39"/>
    </row>
    <row r="384" spans="6:6" x14ac:dyDescent="0.3">
      <c r="F384" s="39"/>
    </row>
    <row r="385" spans="6:6" x14ac:dyDescent="0.3">
      <c r="F385" s="39"/>
    </row>
    <row r="386" spans="6:6" x14ac:dyDescent="0.3">
      <c r="F386" s="39"/>
    </row>
    <row r="387" spans="6:6" x14ac:dyDescent="0.3">
      <c r="F387" s="39"/>
    </row>
    <row r="388" spans="6:6" x14ac:dyDescent="0.3">
      <c r="F388" s="39"/>
    </row>
    <row r="389" spans="6:6" x14ac:dyDescent="0.3">
      <c r="F389" s="39"/>
    </row>
    <row r="390" spans="6:6" x14ac:dyDescent="0.3">
      <c r="F390" s="39"/>
    </row>
    <row r="391" spans="6:6" x14ac:dyDescent="0.3">
      <c r="F391" s="39"/>
    </row>
    <row r="392" spans="6:6" x14ac:dyDescent="0.3">
      <c r="F392" s="39"/>
    </row>
    <row r="393" spans="6:6" x14ac:dyDescent="0.3">
      <c r="F393" s="39"/>
    </row>
    <row r="394" spans="6:6" x14ac:dyDescent="0.3">
      <c r="F394" s="39"/>
    </row>
    <row r="395" spans="6:6" x14ac:dyDescent="0.3">
      <c r="F395" s="39"/>
    </row>
    <row r="396" spans="6:6" x14ac:dyDescent="0.3">
      <c r="F396" s="39"/>
    </row>
    <row r="397" spans="6:6" x14ac:dyDescent="0.3">
      <c r="F397" s="39"/>
    </row>
    <row r="398" spans="6:6" x14ac:dyDescent="0.3">
      <c r="F398" s="39"/>
    </row>
    <row r="399" spans="6:6" x14ac:dyDescent="0.3">
      <c r="F399" s="39"/>
    </row>
    <row r="400" spans="6:6" x14ac:dyDescent="0.3">
      <c r="F400" s="39"/>
    </row>
    <row r="401" spans="6:6" x14ac:dyDescent="0.3">
      <c r="F401" s="39"/>
    </row>
    <row r="402" spans="6:6" x14ac:dyDescent="0.3">
      <c r="F402" s="39"/>
    </row>
    <row r="403" spans="6:6" x14ac:dyDescent="0.3">
      <c r="F403" s="39"/>
    </row>
    <row r="404" spans="6:6" x14ac:dyDescent="0.3">
      <c r="F404" s="39"/>
    </row>
    <row r="405" spans="6:6" x14ac:dyDescent="0.3">
      <c r="F405" s="39"/>
    </row>
    <row r="406" spans="6:6" x14ac:dyDescent="0.3">
      <c r="F406" s="39"/>
    </row>
    <row r="407" spans="6:6" x14ac:dyDescent="0.3">
      <c r="F407" s="39"/>
    </row>
    <row r="408" spans="6:6" x14ac:dyDescent="0.3">
      <c r="F408" s="39"/>
    </row>
    <row r="409" spans="6:6" x14ac:dyDescent="0.3">
      <c r="F409" s="39"/>
    </row>
    <row r="410" spans="6:6" x14ac:dyDescent="0.3">
      <c r="F410" s="39"/>
    </row>
    <row r="411" spans="6:6" x14ac:dyDescent="0.3">
      <c r="F411" s="39"/>
    </row>
    <row r="412" spans="6:6" x14ac:dyDescent="0.3">
      <c r="F412" s="39"/>
    </row>
    <row r="413" spans="6:6" x14ac:dyDescent="0.3">
      <c r="F413" s="39"/>
    </row>
    <row r="414" spans="6:6" x14ac:dyDescent="0.3">
      <c r="F414" s="39"/>
    </row>
    <row r="415" spans="6:6" x14ac:dyDescent="0.3">
      <c r="F415" s="39"/>
    </row>
    <row r="416" spans="6:6" x14ac:dyDescent="0.3">
      <c r="F416" s="39"/>
    </row>
    <row r="417" spans="6:6" x14ac:dyDescent="0.3">
      <c r="F417" s="39"/>
    </row>
    <row r="418" spans="6:6" x14ac:dyDescent="0.3">
      <c r="F418" s="39"/>
    </row>
    <row r="419" spans="6:6" x14ac:dyDescent="0.3">
      <c r="F419" s="39"/>
    </row>
    <row r="420" spans="6:6" x14ac:dyDescent="0.3">
      <c r="F420" s="39"/>
    </row>
    <row r="421" spans="6:6" x14ac:dyDescent="0.3">
      <c r="F421" s="39"/>
    </row>
    <row r="422" spans="6:6" x14ac:dyDescent="0.3">
      <c r="F422" s="39"/>
    </row>
    <row r="423" spans="6:6" x14ac:dyDescent="0.3">
      <c r="F423" s="39"/>
    </row>
    <row r="424" spans="6:6" x14ac:dyDescent="0.3">
      <c r="F424" s="39"/>
    </row>
    <row r="425" spans="6:6" x14ac:dyDescent="0.3">
      <c r="F425" s="39"/>
    </row>
    <row r="426" spans="6:6" x14ac:dyDescent="0.3">
      <c r="F426" s="39"/>
    </row>
    <row r="427" spans="6:6" x14ac:dyDescent="0.3">
      <c r="F427" s="39"/>
    </row>
    <row r="428" spans="6:6" x14ac:dyDescent="0.3">
      <c r="F428" s="39"/>
    </row>
    <row r="429" spans="6:6" x14ac:dyDescent="0.3">
      <c r="F429" s="39"/>
    </row>
    <row r="430" spans="6:6" x14ac:dyDescent="0.3">
      <c r="F430" s="39"/>
    </row>
    <row r="431" spans="6:6" x14ac:dyDescent="0.3">
      <c r="F431" s="39"/>
    </row>
    <row r="432" spans="6:6" x14ac:dyDescent="0.3">
      <c r="F432" s="39"/>
    </row>
    <row r="433" spans="6:6" x14ac:dyDescent="0.3">
      <c r="F433" s="39"/>
    </row>
    <row r="434" spans="6:6" x14ac:dyDescent="0.3">
      <c r="F434" s="39"/>
    </row>
    <row r="435" spans="6:6" x14ac:dyDescent="0.3">
      <c r="F435" s="39"/>
    </row>
    <row r="436" spans="6:6" x14ac:dyDescent="0.3">
      <c r="F436" s="39"/>
    </row>
    <row r="437" spans="6:6" x14ac:dyDescent="0.3">
      <c r="F437" s="39"/>
    </row>
    <row r="438" spans="6:6" x14ac:dyDescent="0.3">
      <c r="F438" s="39"/>
    </row>
    <row r="439" spans="6:6" x14ac:dyDescent="0.3">
      <c r="F439" s="39"/>
    </row>
    <row r="440" spans="6:6" x14ac:dyDescent="0.3">
      <c r="F440" s="39"/>
    </row>
    <row r="441" spans="6:6" x14ac:dyDescent="0.3">
      <c r="F441" s="39"/>
    </row>
    <row r="442" spans="6:6" x14ac:dyDescent="0.3">
      <c r="F442" s="39"/>
    </row>
    <row r="443" spans="6:6" x14ac:dyDescent="0.3">
      <c r="F443" s="39"/>
    </row>
    <row r="444" spans="6:6" x14ac:dyDescent="0.3">
      <c r="F444" s="39"/>
    </row>
    <row r="445" spans="6:6" x14ac:dyDescent="0.3">
      <c r="F445" s="39"/>
    </row>
    <row r="446" spans="6:6" x14ac:dyDescent="0.3">
      <c r="F446" s="39"/>
    </row>
    <row r="447" spans="6:6" x14ac:dyDescent="0.3">
      <c r="F447" s="39"/>
    </row>
    <row r="448" spans="6:6" x14ac:dyDescent="0.3">
      <c r="F448" s="39"/>
    </row>
    <row r="449" spans="6:6" x14ac:dyDescent="0.3">
      <c r="F449" s="39"/>
    </row>
    <row r="450" spans="6:6" x14ac:dyDescent="0.3">
      <c r="F450" s="39"/>
    </row>
    <row r="451" spans="6:6" x14ac:dyDescent="0.3">
      <c r="F451" s="39"/>
    </row>
    <row r="452" spans="6:6" x14ac:dyDescent="0.3">
      <c r="F452" s="39"/>
    </row>
    <row r="453" spans="6:6" x14ac:dyDescent="0.3">
      <c r="F453" s="39"/>
    </row>
    <row r="454" spans="6:6" x14ac:dyDescent="0.3">
      <c r="F454" s="39"/>
    </row>
    <row r="455" spans="6:6" x14ac:dyDescent="0.3">
      <c r="F455" s="39"/>
    </row>
    <row r="456" spans="6:6" x14ac:dyDescent="0.3">
      <c r="F456" s="39"/>
    </row>
    <row r="457" spans="6:6" x14ac:dyDescent="0.3">
      <c r="F457" s="39"/>
    </row>
    <row r="458" spans="6:6" x14ac:dyDescent="0.3">
      <c r="F458" s="39"/>
    </row>
    <row r="459" spans="6:6" x14ac:dyDescent="0.3">
      <c r="F459" s="39"/>
    </row>
    <row r="460" spans="6:6" x14ac:dyDescent="0.3">
      <c r="F460" s="39"/>
    </row>
    <row r="461" spans="6:6" x14ac:dyDescent="0.3">
      <c r="F461" s="39"/>
    </row>
    <row r="462" spans="6:6" x14ac:dyDescent="0.3">
      <c r="F462" s="39"/>
    </row>
    <row r="463" spans="6:6" x14ac:dyDescent="0.3">
      <c r="F463" s="39"/>
    </row>
    <row r="464" spans="6:6" x14ac:dyDescent="0.3">
      <c r="F464" s="39"/>
    </row>
    <row r="465" spans="6:6" x14ac:dyDescent="0.3">
      <c r="F465" s="39"/>
    </row>
    <row r="466" spans="6:6" x14ac:dyDescent="0.3">
      <c r="F466" s="39"/>
    </row>
    <row r="467" spans="6:6" x14ac:dyDescent="0.3">
      <c r="F467" s="39"/>
    </row>
    <row r="468" spans="6:6" x14ac:dyDescent="0.3">
      <c r="F468" s="39"/>
    </row>
    <row r="469" spans="6:6" x14ac:dyDescent="0.3">
      <c r="F469" s="39"/>
    </row>
    <row r="470" spans="6:6" x14ac:dyDescent="0.3">
      <c r="F470" s="39"/>
    </row>
    <row r="471" spans="6:6" x14ac:dyDescent="0.3">
      <c r="F471" s="39"/>
    </row>
    <row r="472" spans="6:6" x14ac:dyDescent="0.3">
      <c r="F472" s="39"/>
    </row>
    <row r="473" spans="6:6" x14ac:dyDescent="0.3">
      <c r="F473" s="39"/>
    </row>
    <row r="474" spans="6:6" x14ac:dyDescent="0.3">
      <c r="F474" s="39"/>
    </row>
    <row r="475" spans="6:6" x14ac:dyDescent="0.3">
      <c r="F475" s="39"/>
    </row>
    <row r="476" spans="6:6" x14ac:dyDescent="0.3">
      <c r="F476" s="39"/>
    </row>
    <row r="477" spans="6:6" x14ac:dyDescent="0.3">
      <c r="F477" s="39"/>
    </row>
    <row r="478" spans="6:6" x14ac:dyDescent="0.3">
      <c r="F478" s="39"/>
    </row>
    <row r="479" spans="6:6" x14ac:dyDescent="0.3">
      <c r="F479" s="39"/>
    </row>
    <row r="480" spans="6:6" x14ac:dyDescent="0.3">
      <c r="F480" s="39"/>
    </row>
    <row r="481" spans="6:6" x14ac:dyDescent="0.3">
      <c r="F481" s="39"/>
    </row>
    <row r="482" spans="6:6" x14ac:dyDescent="0.3">
      <c r="F482" s="39"/>
    </row>
    <row r="483" spans="6:6" x14ac:dyDescent="0.3">
      <c r="F483" s="39"/>
    </row>
    <row r="484" spans="6:6" x14ac:dyDescent="0.3">
      <c r="F484" s="39"/>
    </row>
    <row r="485" spans="6:6" x14ac:dyDescent="0.3">
      <c r="F485" s="39"/>
    </row>
    <row r="486" spans="6:6" x14ac:dyDescent="0.3">
      <c r="F486" s="39"/>
    </row>
    <row r="487" spans="6:6" x14ac:dyDescent="0.3">
      <c r="F487" s="39"/>
    </row>
    <row r="488" spans="6:6" x14ac:dyDescent="0.3">
      <c r="F488" s="39"/>
    </row>
    <row r="489" spans="6:6" x14ac:dyDescent="0.3">
      <c r="F489" s="39"/>
    </row>
    <row r="490" spans="6:6" x14ac:dyDescent="0.3">
      <c r="F490" s="39"/>
    </row>
    <row r="491" spans="6:6" x14ac:dyDescent="0.3">
      <c r="F491" s="39"/>
    </row>
    <row r="492" spans="6:6" x14ac:dyDescent="0.3">
      <c r="F492" s="39"/>
    </row>
    <row r="493" spans="6:6" x14ac:dyDescent="0.3">
      <c r="F493" s="39"/>
    </row>
    <row r="494" spans="6:6" x14ac:dyDescent="0.3">
      <c r="F494" s="39"/>
    </row>
    <row r="495" spans="6:6" x14ac:dyDescent="0.3">
      <c r="F495" s="39"/>
    </row>
    <row r="496" spans="6:6" x14ac:dyDescent="0.3">
      <c r="F496" s="39"/>
    </row>
    <row r="497" spans="6:6" x14ac:dyDescent="0.3">
      <c r="F497" s="39"/>
    </row>
    <row r="498" spans="6:6" x14ac:dyDescent="0.3">
      <c r="F498" s="39"/>
    </row>
    <row r="499" spans="6:6" x14ac:dyDescent="0.3">
      <c r="F499" s="39"/>
    </row>
    <row r="500" spans="6:6" x14ac:dyDescent="0.3">
      <c r="F500" s="39"/>
    </row>
    <row r="501" spans="6:6" x14ac:dyDescent="0.3">
      <c r="F501" s="39"/>
    </row>
    <row r="502" spans="6:6" x14ac:dyDescent="0.3">
      <c r="F502" s="39"/>
    </row>
    <row r="503" spans="6:6" x14ac:dyDescent="0.3">
      <c r="F503" s="39"/>
    </row>
    <row r="504" spans="6:6" x14ac:dyDescent="0.3">
      <c r="F504" s="39"/>
    </row>
    <row r="505" spans="6:6" x14ac:dyDescent="0.3">
      <c r="F505" s="39"/>
    </row>
    <row r="506" spans="6:6" x14ac:dyDescent="0.3">
      <c r="F506" s="39"/>
    </row>
    <row r="507" spans="6:6" x14ac:dyDescent="0.3">
      <c r="F507" s="39"/>
    </row>
    <row r="508" spans="6:6" x14ac:dyDescent="0.3">
      <c r="F508" s="39"/>
    </row>
    <row r="509" spans="6:6" x14ac:dyDescent="0.3">
      <c r="F509" s="39"/>
    </row>
    <row r="510" spans="6:6" x14ac:dyDescent="0.3">
      <c r="F510" s="39"/>
    </row>
    <row r="511" spans="6:6" x14ac:dyDescent="0.3">
      <c r="F511" s="39"/>
    </row>
    <row r="512" spans="6:6" x14ac:dyDescent="0.3">
      <c r="F512" s="39"/>
    </row>
    <row r="513" spans="6:6" x14ac:dyDescent="0.3">
      <c r="F513" s="39"/>
    </row>
    <row r="514" spans="6:6" x14ac:dyDescent="0.3">
      <c r="F514" s="39"/>
    </row>
    <row r="515" spans="6:6" x14ac:dyDescent="0.3">
      <c r="F515" s="39"/>
    </row>
    <row r="516" spans="6:6" x14ac:dyDescent="0.3">
      <c r="F516" s="39"/>
    </row>
    <row r="517" spans="6:6" x14ac:dyDescent="0.3">
      <c r="F517" s="39"/>
    </row>
    <row r="518" spans="6:6" x14ac:dyDescent="0.3">
      <c r="F518" s="39"/>
    </row>
    <row r="519" spans="6:6" x14ac:dyDescent="0.3">
      <c r="F519" s="39"/>
    </row>
    <row r="520" spans="6:6" x14ac:dyDescent="0.3">
      <c r="F520" s="39"/>
    </row>
    <row r="521" spans="6:6" x14ac:dyDescent="0.3">
      <c r="F521" s="39"/>
    </row>
    <row r="522" spans="6:6" x14ac:dyDescent="0.3">
      <c r="F522" s="39"/>
    </row>
    <row r="523" spans="6:6" x14ac:dyDescent="0.3">
      <c r="F523" s="39"/>
    </row>
    <row r="524" spans="6:6" x14ac:dyDescent="0.3">
      <c r="F524" s="39"/>
    </row>
    <row r="525" spans="6:6" x14ac:dyDescent="0.3">
      <c r="F525" s="39"/>
    </row>
    <row r="526" spans="6:6" x14ac:dyDescent="0.3">
      <c r="F526" s="39"/>
    </row>
    <row r="527" spans="6:6" x14ac:dyDescent="0.3">
      <c r="F527" s="39"/>
    </row>
    <row r="528" spans="6:6" x14ac:dyDescent="0.3">
      <c r="F528" s="39"/>
    </row>
    <row r="529" spans="6:6" x14ac:dyDescent="0.3">
      <c r="F529" s="39"/>
    </row>
    <row r="530" spans="6:6" x14ac:dyDescent="0.3">
      <c r="F530" s="39"/>
    </row>
    <row r="531" spans="6:6" x14ac:dyDescent="0.3">
      <c r="F531" s="39"/>
    </row>
    <row r="532" spans="6:6" x14ac:dyDescent="0.3">
      <c r="F532" s="39"/>
    </row>
    <row r="533" spans="6:6" x14ac:dyDescent="0.3">
      <c r="F533" s="39"/>
    </row>
    <row r="534" spans="6:6" x14ac:dyDescent="0.3">
      <c r="F534" s="39"/>
    </row>
    <row r="535" spans="6:6" x14ac:dyDescent="0.3">
      <c r="F535" s="39"/>
    </row>
    <row r="536" spans="6:6" x14ac:dyDescent="0.3">
      <c r="F536" s="39"/>
    </row>
    <row r="537" spans="6:6" x14ac:dyDescent="0.3">
      <c r="F537" s="39"/>
    </row>
    <row r="538" spans="6:6" x14ac:dyDescent="0.3">
      <c r="F538" s="39"/>
    </row>
    <row r="539" spans="6:6" x14ac:dyDescent="0.3">
      <c r="F539" s="39"/>
    </row>
    <row r="540" spans="6:6" x14ac:dyDescent="0.3">
      <c r="F540" s="39"/>
    </row>
    <row r="541" spans="6:6" x14ac:dyDescent="0.3">
      <c r="F541" s="39"/>
    </row>
    <row r="542" spans="6:6" x14ac:dyDescent="0.3">
      <c r="F542" s="39"/>
    </row>
    <row r="543" spans="6:6" x14ac:dyDescent="0.3">
      <c r="F543" s="39"/>
    </row>
    <row r="544" spans="6:6" x14ac:dyDescent="0.3">
      <c r="F544" s="39"/>
    </row>
    <row r="545" spans="6:6" x14ac:dyDescent="0.3">
      <c r="F545" s="39"/>
    </row>
    <row r="546" spans="6:6" x14ac:dyDescent="0.3">
      <c r="F546" s="39"/>
    </row>
    <row r="547" spans="6:6" x14ac:dyDescent="0.3">
      <c r="F547" s="39"/>
    </row>
    <row r="548" spans="6:6" x14ac:dyDescent="0.3">
      <c r="F548" s="39"/>
    </row>
    <row r="549" spans="6:6" x14ac:dyDescent="0.3">
      <c r="F549" s="39"/>
    </row>
    <row r="550" spans="6:6" x14ac:dyDescent="0.3">
      <c r="F550" s="39"/>
    </row>
    <row r="551" spans="6:6" x14ac:dyDescent="0.3">
      <c r="F551" s="39"/>
    </row>
    <row r="552" spans="6:6" x14ac:dyDescent="0.3">
      <c r="F552" s="39"/>
    </row>
    <row r="553" spans="6:6" x14ac:dyDescent="0.3">
      <c r="F553" s="39"/>
    </row>
    <row r="554" spans="6:6" x14ac:dyDescent="0.3">
      <c r="F554" s="39"/>
    </row>
    <row r="555" spans="6:6" x14ac:dyDescent="0.3">
      <c r="F555" s="39"/>
    </row>
    <row r="556" spans="6:6" x14ac:dyDescent="0.3">
      <c r="F556" s="39"/>
    </row>
    <row r="557" spans="6:6" x14ac:dyDescent="0.3">
      <c r="F557" s="39"/>
    </row>
    <row r="558" spans="6:6" x14ac:dyDescent="0.3">
      <c r="F558" s="39"/>
    </row>
    <row r="559" spans="6:6" x14ac:dyDescent="0.3">
      <c r="F559" s="39"/>
    </row>
    <row r="560" spans="6:6" x14ac:dyDescent="0.3">
      <c r="F560" s="39"/>
    </row>
    <row r="561" spans="6:6" x14ac:dyDescent="0.3">
      <c r="F561" s="39"/>
    </row>
    <row r="562" spans="6:6" x14ac:dyDescent="0.3">
      <c r="F562" s="39"/>
    </row>
    <row r="563" spans="6:6" x14ac:dyDescent="0.3">
      <c r="F563" s="39"/>
    </row>
    <row r="564" spans="6:6" x14ac:dyDescent="0.3">
      <c r="F564" s="39"/>
    </row>
    <row r="565" spans="6:6" x14ac:dyDescent="0.3">
      <c r="F565" s="39"/>
    </row>
    <row r="566" spans="6:6" x14ac:dyDescent="0.3">
      <c r="F566" s="39"/>
    </row>
    <row r="567" spans="6:6" x14ac:dyDescent="0.3">
      <c r="F567" s="39"/>
    </row>
    <row r="568" spans="6:6" x14ac:dyDescent="0.3">
      <c r="F568" s="39"/>
    </row>
    <row r="569" spans="6:6" x14ac:dyDescent="0.3">
      <c r="F569" s="39"/>
    </row>
    <row r="570" spans="6:6" x14ac:dyDescent="0.3">
      <c r="F570" s="39"/>
    </row>
    <row r="571" spans="6:6" x14ac:dyDescent="0.3">
      <c r="F571" s="39"/>
    </row>
    <row r="572" spans="6:6" x14ac:dyDescent="0.3">
      <c r="F572" s="39"/>
    </row>
    <row r="573" spans="6:6" x14ac:dyDescent="0.3">
      <c r="F573" s="39"/>
    </row>
    <row r="574" spans="6:6" x14ac:dyDescent="0.3">
      <c r="F574" s="39"/>
    </row>
    <row r="575" spans="6:6" x14ac:dyDescent="0.3">
      <c r="F575" s="39"/>
    </row>
    <row r="576" spans="6:6" x14ac:dyDescent="0.3">
      <c r="F576" s="39"/>
    </row>
    <row r="577" spans="6:6" x14ac:dyDescent="0.3">
      <c r="F577" s="39"/>
    </row>
    <row r="578" spans="6:6" x14ac:dyDescent="0.3">
      <c r="F578" s="39"/>
    </row>
    <row r="579" spans="6:6" x14ac:dyDescent="0.3">
      <c r="F579" s="39"/>
    </row>
    <row r="580" spans="6:6" x14ac:dyDescent="0.3">
      <c r="F580" s="39"/>
    </row>
    <row r="581" spans="6:6" x14ac:dyDescent="0.3">
      <c r="F581" s="39"/>
    </row>
    <row r="582" spans="6:6" x14ac:dyDescent="0.3">
      <c r="F582" s="39"/>
    </row>
    <row r="583" spans="6:6" x14ac:dyDescent="0.3">
      <c r="F583" s="39"/>
    </row>
    <row r="584" spans="6:6" x14ac:dyDescent="0.3">
      <c r="F584" s="39"/>
    </row>
    <row r="585" spans="6:6" x14ac:dyDescent="0.3">
      <c r="F585" s="39"/>
    </row>
    <row r="586" spans="6:6" x14ac:dyDescent="0.3">
      <c r="F586" s="39"/>
    </row>
    <row r="587" spans="6:6" x14ac:dyDescent="0.3">
      <c r="F587" s="39"/>
    </row>
    <row r="588" spans="6:6" x14ac:dyDescent="0.3">
      <c r="F588" s="39"/>
    </row>
    <row r="589" spans="6:6" x14ac:dyDescent="0.3">
      <c r="F589" s="39"/>
    </row>
    <row r="590" spans="6:6" x14ac:dyDescent="0.3">
      <c r="F590" s="39"/>
    </row>
    <row r="591" spans="6:6" x14ac:dyDescent="0.3">
      <c r="F591" s="39"/>
    </row>
    <row r="592" spans="6:6" x14ac:dyDescent="0.3">
      <c r="F592" s="39"/>
    </row>
    <row r="593" spans="6:6" x14ac:dyDescent="0.3">
      <c r="F593" s="39"/>
    </row>
    <row r="594" spans="6:6" x14ac:dyDescent="0.3">
      <c r="F594" s="39"/>
    </row>
    <row r="595" spans="6:6" x14ac:dyDescent="0.3">
      <c r="F595" s="39"/>
    </row>
    <row r="596" spans="6:6" x14ac:dyDescent="0.3">
      <c r="F596" s="39"/>
    </row>
    <row r="597" spans="6:6" x14ac:dyDescent="0.3">
      <c r="F597" s="39"/>
    </row>
    <row r="598" spans="6:6" x14ac:dyDescent="0.3">
      <c r="F598" s="39"/>
    </row>
    <row r="599" spans="6:6" x14ac:dyDescent="0.3">
      <c r="F599" s="39"/>
    </row>
    <row r="600" spans="6:6" x14ac:dyDescent="0.3">
      <c r="F600" s="39"/>
    </row>
    <row r="601" spans="6:6" x14ac:dyDescent="0.3">
      <c r="F601" s="39"/>
    </row>
    <row r="602" spans="6:6" x14ac:dyDescent="0.3">
      <c r="F602" s="39"/>
    </row>
    <row r="603" spans="6:6" x14ac:dyDescent="0.3">
      <c r="F603" s="39"/>
    </row>
    <row r="604" spans="6:6" x14ac:dyDescent="0.3">
      <c r="F604" s="39"/>
    </row>
    <row r="605" spans="6:6" x14ac:dyDescent="0.3">
      <c r="F605" s="39"/>
    </row>
    <row r="606" spans="6:6" x14ac:dyDescent="0.3">
      <c r="F606" s="39"/>
    </row>
    <row r="607" spans="6:6" x14ac:dyDescent="0.3">
      <c r="F607" s="39"/>
    </row>
    <row r="608" spans="6:6" x14ac:dyDescent="0.3">
      <c r="F608" s="39"/>
    </row>
    <row r="609" spans="6:6" x14ac:dyDescent="0.3">
      <c r="F609" s="39"/>
    </row>
    <row r="610" spans="6:6" x14ac:dyDescent="0.3">
      <c r="F610" s="39"/>
    </row>
    <row r="611" spans="6:6" x14ac:dyDescent="0.3">
      <c r="F611" s="39"/>
    </row>
    <row r="612" spans="6:6" x14ac:dyDescent="0.3">
      <c r="F612" s="39"/>
    </row>
    <row r="613" spans="6:6" x14ac:dyDescent="0.3">
      <c r="F613" s="39"/>
    </row>
    <row r="614" spans="6:6" x14ac:dyDescent="0.3">
      <c r="F614" s="39"/>
    </row>
    <row r="615" spans="6:6" x14ac:dyDescent="0.3">
      <c r="F615" s="39"/>
    </row>
    <row r="616" spans="6:6" x14ac:dyDescent="0.3">
      <c r="F616" s="39"/>
    </row>
    <row r="617" spans="6:6" x14ac:dyDescent="0.3">
      <c r="F617" s="39"/>
    </row>
    <row r="618" spans="6:6" x14ac:dyDescent="0.3">
      <c r="F618" s="39"/>
    </row>
    <row r="619" spans="6:6" x14ac:dyDescent="0.3">
      <c r="F619" s="39"/>
    </row>
    <row r="620" spans="6:6" x14ac:dyDescent="0.3">
      <c r="F620" s="39"/>
    </row>
    <row r="621" spans="6:6" x14ac:dyDescent="0.3">
      <c r="F621" s="39"/>
    </row>
    <row r="622" spans="6:6" x14ac:dyDescent="0.3">
      <c r="F622" s="39"/>
    </row>
    <row r="623" spans="6:6" x14ac:dyDescent="0.3">
      <c r="F623" s="39"/>
    </row>
    <row r="624" spans="6:6" x14ac:dyDescent="0.3">
      <c r="F624" s="39"/>
    </row>
    <row r="625" spans="6:6" x14ac:dyDescent="0.3">
      <c r="F625" s="39"/>
    </row>
    <row r="626" spans="6:6" x14ac:dyDescent="0.3">
      <c r="F626" s="39"/>
    </row>
    <row r="627" spans="6:6" x14ac:dyDescent="0.3">
      <c r="F627" s="39"/>
    </row>
    <row r="628" spans="6:6" x14ac:dyDescent="0.3">
      <c r="F628" s="39"/>
    </row>
    <row r="629" spans="6:6" x14ac:dyDescent="0.3">
      <c r="F629" s="39"/>
    </row>
    <row r="630" spans="6:6" x14ac:dyDescent="0.3">
      <c r="F630" s="39"/>
    </row>
    <row r="631" spans="6:6" x14ac:dyDescent="0.3">
      <c r="F631" s="39"/>
    </row>
    <row r="632" spans="6:6" x14ac:dyDescent="0.3">
      <c r="F632" s="39"/>
    </row>
    <row r="633" spans="6:6" x14ac:dyDescent="0.3">
      <c r="F633" s="39"/>
    </row>
    <row r="634" spans="6:6" x14ac:dyDescent="0.3">
      <c r="F634" s="39"/>
    </row>
    <row r="635" spans="6:6" x14ac:dyDescent="0.3">
      <c r="F635" s="39"/>
    </row>
    <row r="636" spans="6:6" x14ac:dyDescent="0.3">
      <c r="F636" s="39"/>
    </row>
    <row r="637" spans="6:6" x14ac:dyDescent="0.3">
      <c r="F637" s="39"/>
    </row>
    <row r="638" spans="6:6" x14ac:dyDescent="0.3">
      <c r="F638" s="39"/>
    </row>
    <row r="639" spans="6:6" x14ac:dyDescent="0.3">
      <c r="F639" s="39"/>
    </row>
    <row r="640" spans="6:6" x14ac:dyDescent="0.3">
      <c r="F640" s="39"/>
    </row>
    <row r="641" spans="6:6" x14ac:dyDescent="0.3">
      <c r="F641" s="39"/>
    </row>
    <row r="642" spans="6:6" x14ac:dyDescent="0.3">
      <c r="F642" s="39"/>
    </row>
    <row r="643" spans="6:6" x14ac:dyDescent="0.3">
      <c r="F643" s="39"/>
    </row>
    <row r="644" spans="6:6" x14ac:dyDescent="0.3">
      <c r="F644" s="39"/>
    </row>
    <row r="645" spans="6:6" x14ac:dyDescent="0.3">
      <c r="F645" s="39"/>
    </row>
    <row r="646" spans="6:6" x14ac:dyDescent="0.3">
      <c r="F646" s="39"/>
    </row>
    <row r="647" spans="6:6" x14ac:dyDescent="0.3">
      <c r="F647" s="39"/>
    </row>
    <row r="648" spans="6:6" x14ac:dyDescent="0.3">
      <c r="F648" s="39"/>
    </row>
    <row r="649" spans="6:6" x14ac:dyDescent="0.3">
      <c r="F649" s="39"/>
    </row>
    <row r="650" spans="6:6" x14ac:dyDescent="0.3">
      <c r="F650" s="39"/>
    </row>
    <row r="651" spans="6:6" x14ac:dyDescent="0.3">
      <c r="F651" s="39"/>
    </row>
    <row r="652" spans="6:6" x14ac:dyDescent="0.3">
      <c r="F652" s="39"/>
    </row>
    <row r="653" spans="6:6" x14ac:dyDescent="0.3">
      <c r="F653" s="39"/>
    </row>
    <row r="654" spans="6:6" x14ac:dyDescent="0.3">
      <c r="F654" s="39"/>
    </row>
    <row r="655" spans="6:6" x14ac:dyDescent="0.3">
      <c r="F655" s="39"/>
    </row>
    <row r="656" spans="6:6" x14ac:dyDescent="0.3">
      <c r="F656" s="39"/>
    </row>
    <row r="657" spans="6:6" x14ac:dyDescent="0.3">
      <c r="F657" s="39"/>
    </row>
    <row r="658" spans="6:6" x14ac:dyDescent="0.3">
      <c r="F658" s="39"/>
    </row>
    <row r="659" spans="6:6" x14ac:dyDescent="0.3">
      <c r="F659" s="39"/>
    </row>
    <row r="660" spans="6:6" x14ac:dyDescent="0.3">
      <c r="F660" s="39"/>
    </row>
    <row r="661" spans="6:6" x14ac:dyDescent="0.3">
      <c r="F661" s="39"/>
    </row>
    <row r="662" spans="6:6" x14ac:dyDescent="0.3">
      <c r="F662" s="39"/>
    </row>
    <row r="663" spans="6:6" x14ac:dyDescent="0.3">
      <c r="F663" s="39"/>
    </row>
    <row r="664" spans="6:6" x14ac:dyDescent="0.3">
      <c r="F664" s="39"/>
    </row>
    <row r="665" spans="6:6" x14ac:dyDescent="0.3">
      <c r="F665" s="39"/>
    </row>
    <row r="666" spans="6:6" x14ac:dyDescent="0.3">
      <c r="F666" s="39"/>
    </row>
    <row r="667" spans="6:6" x14ac:dyDescent="0.3">
      <c r="F667" s="39"/>
    </row>
    <row r="668" spans="6:6" x14ac:dyDescent="0.3">
      <c r="F668" s="39"/>
    </row>
    <row r="669" spans="6:6" x14ac:dyDescent="0.3">
      <c r="F669" s="39"/>
    </row>
    <row r="670" spans="6:6" x14ac:dyDescent="0.3">
      <c r="F670" s="39"/>
    </row>
    <row r="671" spans="6:6" x14ac:dyDescent="0.3">
      <c r="F671" s="39"/>
    </row>
    <row r="672" spans="6:6" x14ac:dyDescent="0.3">
      <c r="F672" s="39"/>
    </row>
    <row r="673" spans="6:6" x14ac:dyDescent="0.3">
      <c r="F673" s="39"/>
    </row>
    <row r="674" spans="6:6" x14ac:dyDescent="0.3">
      <c r="F674" s="39"/>
    </row>
    <row r="675" spans="6:6" x14ac:dyDescent="0.3">
      <c r="F675" s="39"/>
    </row>
    <row r="676" spans="6:6" x14ac:dyDescent="0.3">
      <c r="F676" s="39"/>
    </row>
    <row r="677" spans="6:6" x14ac:dyDescent="0.3">
      <c r="F677" s="39"/>
    </row>
    <row r="678" spans="6:6" x14ac:dyDescent="0.3">
      <c r="F678" s="39"/>
    </row>
    <row r="679" spans="6:6" x14ac:dyDescent="0.3">
      <c r="F679" s="39"/>
    </row>
    <row r="680" spans="6:6" x14ac:dyDescent="0.3">
      <c r="F680" s="39"/>
    </row>
    <row r="681" spans="6:6" x14ac:dyDescent="0.3">
      <c r="F681" s="39"/>
    </row>
    <row r="682" spans="6:6" x14ac:dyDescent="0.3">
      <c r="F682" s="39"/>
    </row>
    <row r="683" spans="6:6" x14ac:dyDescent="0.3">
      <c r="F683" s="39"/>
    </row>
    <row r="684" spans="6:6" x14ac:dyDescent="0.3">
      <c r="F684" s="39"/>
    </row>
    <row r="685" spans="6:6" x14ac:dyDescent="0.3">
      <c r="F685" s="39"/>
    </row>
    <row r="686" spans="6:6" x14ac:dyDescent="0.3">
      <c r="F686" s="39"/>
    </row>
    <row r="687" spans="6:6" x14ac:dyDescent="0.3">
      <c r="F687" s="39"/>
    </row>
    <row r="688" spans="6:6" x14ac:dyDescent="0.3">
      <c r="F688" s="39"/>
    </row>
    <row r="689" spans="6:6" x14ac:dyDescent="0.3">
      <c r="F689" s="39"/>
    </row>
    <row r="690" spans="6:6" x14ac:dyDescent="0.3">
      <c r="F690" s="39"/>
    </row>
    <row r="691" spans="6:6" x14ac:dyDescent="0.3">
      <c r="F691" s="39"/>
    </row>
    <row r="692" spans="6:6" x14ac:dyDescent="0.3">
      <c r="F692" s="39"/>
    </row>
    <row r="693" spans="6:6" x14ac:dyDescent="0.3">
      <c r="F693" s="39"/>
    </row>
    <row r="694" spans="6:6" x14ac:dyDescent="0.3">
      <c r="F694" s="39"/>
    </row>
    <row r="695" spans="6:6" x14ac:dyDescent="0.3">
      <c r="F695" s="39"/>
    </row>
    <row r="696" spans="6:6" x14ac:dyDescent="0.3">
      <c r="F696" s="39"/>
    </row>
    <row r="697" spans="6:6" x14ac:dyDescent="0.3">
      <c r="F697" s="39"/>
    </row>
    <row r="698" spans="6:6" x14ac:dyDescent="0.3">
      <c r="F698" s="39"/>
    </row>
    <row r="699" spans="6:6" x14ac:dyDescent="0.3">
      <c r="F699" s="39"/>
    </row>
    <row r="700" spans="6:6" x14ac:dyDescent="0.3">
      <c r="F700" s="39"/>
    </row>
    <row r="701" spans="6:6" x14ac:dyDescent="0.3">
      <c r="F701" s="39"/>
    </row>
    <row r="702" spans="6:6" x14ac:dyDescent="0.3">
      <c r="F702" s="39"/>
    </row>
    <row r="703" spans="6:6" x14ac:dyDescent="0.3">
      <c r="F703" s="39"/>
    </row>
    <row r="704" spans="6:6" x14ac:dyDescent="0.3">
      <c r="F704" s="39"/>
    </row>
    <row r="705" spans="6:6" x14ac:dyDescent="0.3">
      <c r="F705" s="39"/>
    </row>
    <row r="706" spans="6:6" x14ac:dyDescent="0.3">
      <c r="F706" s="39"/>
    </row>
    <row r="707" spans="6:6" x14ac:dyDescent="0.3">
      <c r="F707" s="39"/>
    </row>
    <row r="708" spans="6:6" x14ac:dyDescent="0.3">
      <c r="F708" s="39"/>
    </row>
    <row r="709" spans="6:6" x14ac:dyDescent="0.3">
      <c r="F709" s="39"/>
    </row>
    <row r="710" spans="6:6" x14ac:dyDescent="0.3">
      <c r="F710" s="39"/>
    </row>
    <row r="711" spans="6:6" x14ac:dyDescent="0.3">
      <c r="F711" s="39"/>
    </row>
    <row r="712" spans="6:6" x14ac:dyDescent="0.3">
      <c r="F712" s="39"/>
    </row>
    <row r="713" spans="6:6" x14ac:dyDescent="0.3">
      <c r="F713" s="39"/>
    </row>
    <row r="714" spans="6:6" x14ac:dyDescent="0.3">
      <c r="F714" s="39"/>
    </row>
    <row r="715" spans="6:6" x14ac:dyDescent="0.3">
      <c r="F715" s="39"/>
    </row>
    <row r="716" spans="6:6" x14ac:dyDescent="0.3">
      <c r="F716" s="39"/>
    </row>
    <row r="717" spans="6:6" x14ac:dyDescent="0.3">
      <c r="F717" s="39"/>
    </row>
    <row r="718" spans="6:6" x14ac:dyDescent="0.3">
      <c r="F718" s="39"/>
    </row>
    <row r="719" spans="6:6" x14ac:dyDescent="0.3">
      <c r="F719" s="39"/>
    </row>
    <row r="720" spans="6:6" x14ac:dyDescent="0.3">
      <c r="F720" s="39"/>
    </row>
    <row r="721" spans="6:6" x14ac:dyDescent="0.3">
      <c r="F721" s="39"/>
    </row>
    <row r="722" spans="6:6" x14ac:dyDescent="0.3">
      <c r="F722" s="39"/>
    </row>
    <row r="723" spans="6:6" x14ac:dyDescent="0.3">
      <c r="F723" s="39"/>
    </row>
    <row r="724" spans="6:6" x14ac:dyDescent="0.3">
      <c r="F724" s="39"/>
    </row>
    <row r="725" spans="6:6" x14ac:dyDescent="0.3">
      <c r="F725" s="39"/>
    </row>
    <row r="726" spans="6:6" x14ac:dyDescent="0.3">
      <c r="F726" s="39"/>
    </row>
    <row r="727" spans="6:6" x14ac:dyDescent="0.3">
      <c r="F727" s="39"/>
    </row>
    <row r="728" spans="6:6" x14ac:dyDescent="0.3">
      <c r="F728" s="39"/>
    </row>
    <row r="729" spans="6:6" x14ac:dyDescent="0.3">
      <c r="F729" s="39"/>
    </row>
    <row r="730" spans="6:6" x14ac:dyDescent="0.3">
      <c r="F730" s="39"/>
    </row>
    <row r="731" spans="6:6" x14ac:dyDescent="0.3">
      <c r="F731" s="39"/>
    </row>
    <row r="732" spans="6:6" x14ac:dyDescent="0.3">
      <c r="F732" s="39"/>
    </row>
    <row r="733" spans="6:6" x14ac:dyDescent="0.3">
      <c r="F733" s="39"/>
    </row>
    <row r="734" spans="6:6" x14ac:dyDescent="0.3">
      <c r="F734" s="39"/>
    </row>
    <row r="735" spans="6:6" x14ac:dyDescent="0.3">
      <c r="F735" s="39"/>
    </row>
    <row r="736" spans="6:6" x14ac:dyDescent="0.3">
      <c r="F736" s="39"/>
    </row>
    <row r="737" spans="6:6" x14ac:dyDescent="0.3">
      <c r="F737" s="39"/>
    </row>
    <row r="738" spans="6:6" x14ac:dyDescent="0.3">
      <c r="F738" s="39"/>
    </row>
    <row r="739" spans="6:6" x14ac:dyDescent="0.3">
      <c r="F739" s="39"/>
    </row>
    <row r="740" spans="6:6" x14ac:dyDescent="0.3">
      <c r="F740" s="39"/>
    </row>
    <row r="741" spans="6:6" x14ac:dyDescent="0.3">
      <c r="F741" s="39"/>
    </row>
    <row r="742" spans="6:6" x14ac:dyDescent="0.3">
      <c r="F742" s="39"/>
    </row>
    <row r="743" spans="6:6" x14ac:dyDescent="0.3">
      <c r="F743" s="39"/>
    </row>
    <row r="744" spans="6:6" x14ac:dyDescent="0.3">
      <c r="F744" s="39"/>
    </row>
    <row r="745" spans="6:6" x14ac:dyDescent="0.3">
      <c r="F745" s="39"/>
    </row>
    <row r="746" spans="6:6" x14ac:dyDescent="0.3">
      <c r="F746" s="39"/>
    </row>
    <row r="747" spans="6:6" x14ac:dyDescent="0.3">
      <c r="F747" s="39"/>
    </row>
    <row r="748" spans="6:6" x14ac:dyDescent="0.3">
      <c r="F748" s="39"/>
    </row>
    <row r="749" spans="6:6" x14ac:dyDescent="0.3">
      <c r="F749" s="39"/>
    </row>
    <row r="750" spans="6:6" x14ac:dyDescent="0.3">
      <c r="F750" s="39"/>
    </row>
    <row r="751" spans="6:6" x14ac:dyDescent="0.3">
      <c r="F751" s="39"/>
    </row>
    <row r="752" spans="6:6" x14ac:dyDescent="0.3">
      <c r="F752" s="39"/>
    </row>
    <row r="753" spans="6:6" x14ac:dyDescent="0.3">
      <c r="F753" s="39"/>
    </row>
    <row r="754" spans="6:6" x14ac:dyDescent="0.3">
      <c r="F754" s="39"/>
    </row>
    <row r="755" spans="6:6" x14ac:dyDescent="0.3">
      <c r="F755" s="39"/>
    </row>
    <row r="756" spans="6:6" x14ac:dyDescent="0.3">
      <c r="F756" s="39"/>
    </row>
    <row r="757" spans="6:6" x14ac:dyDescent="0.3">
      <c r="F757" s="39"/>
    </row>
    <row r="758" spans="6:6" x14ac:dyDescent="0.3">
      <c r="F758" s="39"/>
    </row>
    <row r="759" spans="6:6" x14ac:dyDescent="0.3">
      <c r="F759" s="39"/>
    </row>
    <row r="760" spans="6:6" x14ac:dyDescent="0.3">
      <c r="F760" s="39"/>
    </row>
    <row r="761" spans="6:6" x14ac:dyDescent="0.3">
      <c r="F761" s="39"/>
    </row>
    <row r="762" spans="6:6" x14ac:dyDescent="0.3">
      <c r="F762" s="39"/>
    </row>
    <row r="763" spans="6:6" x14ac:dyDescent="0.3">
      <c r="F763" s="39"/>
    </row>
    <row r="764" spans="6:6" x14ac:dyDescent="0.3">
      <c r="F764" s="39"/>
    </row>
    <row r="765" spans="6:6" x14ac:dyDescent="0.3">
      <c r="F765" s="39"/>
    </row>
    <row r="766" spans="6:6" x14ac:dyDescent="0.3">
      <c r="F766" s="39"/>
    </row>
    <row r="767" spans="6:6" x14ac:dyDescent="0.3">
      <c r="F767" s="39"/>
    </row>
    <row r="768" spans="6:6" x14ac:dyDescent="0.3">
      <c r="F768" s="39"/>
    </row>
    <row r="769" spans="6:6" x14ac:dyDescent="0.3">
      <c r="F769" s="39"/>
    </row>
    <row r="770" spans="6:6" x14ac:dyDescent="0.3">
      <c r="F770" s="39"/>
    </row>
    <row r="771" spans="6:6" x14ac:dyDescent="0.3">
      <c r="F771" s="39"/>
    </row>
    <row r="772" spans="6:6" x14ac:dyDescent="0.3">
      <c r="F772" s="39"/>
    </row>
    <row r="773" spans="6:6" x14ac:dyDescent="0.3">
      <c r="F773" s="39"/>
    </row>
    <row r="774" spans="6:6" x14ac:dyDescent="0.3">
      <c r="F774" s="39"/>
    </row>
    <row r="775" spans="6:6" x14ac:dyDescent="0.3">
      <c r="F775" s="39"/>
    </row>
    <row r="776" spans="6:6" x14ac:dyDescent="0.3">
      <c r="F776" s="39"/>
    </row>
    <row r="777" spans="6:6" x14ac:dyDescent="0.3">
      <c r="F777" s="39"/>
    </row>
    <row r="778" spans="6:6" x14ac:dyDescent="0.3">
      <c r="F778" s="39"/>
    </row>
    <row r="779" spans="6:6" x14ac:dyDescent="0.3">
      <c r="F779" s="39"/>
    </row>
    <row r="780" spans="6:6" x14ac:dyDescent="0.3">
      <c r="F780" s="39"/>
    </row>
    <row r="781" spans="6:6" x14ac:dyDescent="0.3">
      <c r="F781" s="39"/>
    </row>
    <row r="782" spans="6:6" x14ac:dyDescent="0.3">
      <c r="F782" s="39"/>
    </row>
    <row r="783" spans="6:6" x14ac:dyDescent="0.3">
      <c r="F783" s="39"/>
    </row>
    <row r="784" spans="6:6" x14ac:dyDescent="0.3">
      <c r="F784" s="39"/>
    </row>
    <row r="785" spans="6:6" x14ac:dyDescent="0.3">
      <c r="F785" s="39"/>
    </row>
    <row r="786" spans="6:6" x14ac:dyDescent="0.3">
      <c r="F786" s="39"/>
    </row>
    <row r="787" spans="6:6" x14ac:dyDescent="0.3">
      <c r="F787" s="39"/>
    </row>
    <row r="788" spans="6:6" x14ac:dyDescent="0.3">
      <c r="F788" s="39"/>
    </row>
    <row r="789" spans="6:6" x14ac:dyDescent="0.3">
      <c r="F789" s="39"/>
    </row>
    <row r="790" spans="6:6" x14ac:dyDescent="0.3">
      <c r="F790" s="39"/>
    </row>
    <row r="791" spans="6:6" x14ac:dyDescent="0.3">
      <c r="F791" s="39"/>
    </row>
    <row r="792" spans="6:6" x14ac:dyDescent="0.3">
      <c r="F792" s="39"/>
    </row>
    <row r="793" spans="6:6" x14ac:dyDescent="0.3">
      <c r="F793" s="39"/>
    </row>
    <row r="794" spans="6:6" x14ac:dyDescent="0.3">
      <c r="F794" s="39"/>
    </row>
    <row r="795" spans="6:6" x14ac:dyDescent="0.3">
      <c r="F795" s="39"/>
    </row>
    <row r="796" spans="6:6" x14ac:dyDescent="0.3">
      <c r="F796" s="39"/>
    </row>
    <row r="797" spans="6:6" x14ac:dyDescent="0.3">
      <c r="F797" s="39"/>
    </row>
    <row r="798" spans="6:6" x14ac:dyDescent="0.3">
      <c r="F798" s="39"/>
    </row>
    <row r="799" spans="6:6" x14ac:dyDescent="0.3">
      <c r="F799" s="39"/>
    </row>
    <row r="800" spans="6:6" x14ac:dyDescent="0.3">
      <c r="F800" s="39"/>
    </row>
    <row r="801" spans="6:6" x14ac:dyDescent="0.3">
      <c r="F801" s="39"/>
    </row>
    <row r="802" spans="6:6" x14ac:dyDescent="0.3">
      <c r="F802" s="39"/>
    </row>
    <row r="803" spans="6:6" x14ac:dyDescent="0.3">
      <c r="F803" s="39"/>
    </row>
    <row r="804" spans="6:6" x14ac:dyDescent="0.3">
      <c r="F804" s="39"/>
    </row>
    <row r="805" spans="6:6" x14ac:dyDescent="0.3">
      <c r="F805" s="39"/>
    </row>
    <row r="806" spans="6:6" x14ac:dyDescent="0.3">
      <c r="F806" s="39"/>
    </row>
    <row r="807" spans="6:6" x14ac:dyDescent="0.3">
      <c r="F807" s="39"/>
    </row>
    <row r="808" spans="6:6" x14ac:dyDescent="0.3">
      <c r="F808" s="39"/>
    </row>
    <row r="809" spans="6:6" x14ac:dyDescent="0.3">
      <c r="F809" s="39"/>
    </row>
    <row r="810" spans="6:6" x14ac:dyDescent="0.3">
      <c r="F810" s="39"/>
    </row>
    <row r="811" spans="6:6" x14ac:dyDescent="0.3">
      <c r="F811" s="39"/>
    </row>
    <row r="812" spans="6:6" x14ac:dyDescent="0.3">
      <c r="F812" s="39"/>
    </row>
    <row r="813" spans="6:6" x14ac:dyDescent="0.3">
      <c r="F813" s="39"/>
    </row>
    <row r="814" spans="6:6" x14ac:dyDescent="0.3">
      <c r="F814" s="39"/>
    </row>
    <row r="815" spans="6:6" x14ac:dyDescent="0.3">
      <c r="F815" s="39"/>
    </row>
    <row r="816" spans="6:6" x14ac:dyDescent="0.3">
      <c r="F816" s="39"/>
    </row>
    <row r="817" spans="6:6" x14ac:dyDescent="0.3">
      <c r="F817" s="39"/>
    </row>
    <row r="818" spans="6:6" x14ac:dyDescent="0.3">
      <c r="F818" s="39"/>
    </row>
    <row r="819" spans="6:6" x14ac:dyDescent="0.3">
      <c r="F819" s="39"/>
    </row>
    <row r="820" spans="6:6" x14ac:dyDescent="0.3">
      <c r="F820" s="39"/>
    </row>
    <row r="821" spans="6:6" x14ac:dyDescent="0.3">
      <c r="F821" s="39"/>
    </row>
    <row r="822" spans="6:6" x14ac:dyDescent="0.3">
      <c r="F822" s="39"/>
    </row>
    <row r="823" spans="6:6" x14ac:dyDescent="0.3">
      <c r="F823" s="39"/>
    </row>
    <row r="824" spans="6:6" x14ac:dyDescent="0.3">
      <c r="F824" s="39"/>
    </row>
    <row r="825" spans="6:6" x14ac:dyDescent="0.3">
      <c r="F825" s="39"/>
    </row>
    <row r="826" spans="6:6" x14ac:dyDescent="0.3">
      <c r="F826" s="39"/>
    </row>
    <row r="827" spans="6:6" x14ac:dyDescent="0.3">
      <c r="F827" s="39"/>
    </row>
    <row r="828" spans="6:6" x14ac:dyDescent="0.3">
      <c r="F828" s="39"/>
    </row>
    <row r="829" spans="6:6" x14ac:dyDescent="0.3">
      <c r="F829" s="39"/>
    </row>
    <row r="830" spans="6:6" x14ac:dyDescent="0.3">
      <c r="F830" s="39"/>
    </row>
    <row r="831" spans="6:6" x14ac:dyDescent="0.3">
      <c r="F831" s="39"/>
    </row>
    <row r="832" spans="6:6" x14ac:dyDescent="0.3">
      <c r="F832" s="39"/>
    </row>
    <row r="833" spans="6:6" x14ac:dyDescent="0.3">
      <c r="F833" s="39"/>
    </row>
    <row r="834" spans="6:6" x14ac:dyDescent="0.3">
      <c r="F834" s="39"/>
    </row>
    <row r="835" spans="6:6" x14ac:dyDescent="0.3">
      <c r="F835" s="39"/>
    </row>
    <row r="836" spans="6:6" x14ac:dyDescent="0.3">
      <c r="F836" s="39"/>
    </row>
    <row r="837" spans="6:6" x14ac:dyDescent="0.3">
      <c r="F837" s="39"/>
    </row>
    <row r="838" spans="6:6" x14ac:dyDescent="0.3">
      <c r="F838" s="39"/>
    </row>
    <row r="839" spans="6:6" x14ac:dyDescent="0.3">
      <c r="F839" s="39"/>
    </row>
    <row r="840" spans="6:6" x14ac:dyDescent="0.3">
      <c r="F840" s="39"/>
    </row>
    <row r="841" spans="6:6" x14ac:dyDescent="0.3">
      <c r="F841" s="39"/>
    </row>
    <row r="842" spans="6:6" x14ac:dyDescent="0.3">
      <c r="F842" s="39"/>
    </row>
    <row r="843" spans="6:6" x14ac:dyDescent="0.3">
      <c r="F843" s="39"/>
    </row>
    <row r="844" spans="6:6" x14ac:dyDescent="0.3">
      <c r="F844" s="39"/>
    </row>
    <row r="845" spans="6:6" x14ac:dyDescent="0.3">
      <c r="F845" s="39"/>
    </row>
    <row r="846" spans="6:6" x14ac:dyDescent="0.3">
      <c r="F846" s="39"/>
    </row>
    <row r="847" spans="6:6" x14ac:dyDescent="0.3">
      <c r="F847" s="39"/>
    </row>
    <row r="848" spans="6:6" x14ac:dyDescent="0.3">
      <c r="F848" s="39"/>
    </row>
    <row r="849" spans="6:6" x14ac:dyDescent="0.3">
      <c r="F849" s="39"/>
    </row>
    <row r="850" spans="6:6" x14ac:dyDescent="0.3">
      <c r="F850" s="39"/>
    </row>
    <row r="851" spans="6:6" x14ac:dyDescent="0.3">
      <c r="F851" s="39"/>
    </row>
    <row r="852" spans="6:6" x14ac:dyDescent="0.3">
      <c r="F852" s="39"/>
    </row>
    <row r="853" spans="6:6" x14ac:dyDescent="0.3">
      <c r="F853" s="39"/>
    </row>
    <row r="854" spans="6:6" x14ac:dyDescent="0.3">
      <c r="F854" s="39"/>
    </row>
    <row r="855" spans="6:6" x14ac:dyDescent="0.3">
      <c r="F855" s="39"/>
    </row>
    <row r="856" spans="6:6" x14ac:dyDescent="0.3">
      <c r="F856" s="39"/>
    </row>
    <row r="857" spans="6:6" x14ac:dyDescent="0.3">
      <c r="F857" s="39"/>
    </row>
    <row r="858" spans="6:6" x14ac:dyDescent="0.3">
      <c r="F858" s="39"/>
    </row>
    <row r="859" spans="6:6" x14ac:dyDescent="0.3">
      <c r="F859" s="39"/>
    </row>
    <row r="860" spans="6:6" x14ac:dyDescent="0.3">
      <c r="F860" s="39"/>
    </row>
    <row r="861" spans="6:6" x14ac:dyDescent="0.3">
      <c r="F861" s="39"/>
    </row>
    <row r="862" spans="6:6" x14ac:dyDescent="0.3">
      <c r="F862" s="39"/>
    </row>
    <row r="863" spans="6:6" x14ac:dyDescent="0.3">
      <c r="F863" s="39"/>
    </row>
    <row r="864" spans="6:6" x14ac:dyDescent="0.3">
      <c r="F864" s="39"/>
    </row>
    <row r="865" spans="6:6" x14ac:dyDescent="0.3">
      <c r="F865" s="39"/>
    </row>
    <row r="866" spans="6:6" x14ac:dyDescent="0.3">
      <c r="F866" s="39"/>
    </row>
    <row r="867" spans="6:6" x14ac:dyDescent="0.3">
      <c r="F867" s="39"/>
    </row>
    <row r="868" spans="6:6" x14ac:dyDescent="0.3">
      <c r="F868" s="39"/>
    </row>
    <row r="869" spans="6:6" x14ac:dyDescent="0.3">
      <c r="F869" s="39"/>
    </row>
    <row r="870" spans="6:6" x14ac:dyDescent="0.3">
      <c r="F870" s="39"/>
    </row>
    <row r="871" spans="6:6" x14ac:dyDescent="0.3">
      <c r="F871" s="39"/>
    </row>
    <row r="872" spans="6:6" x14ac:dyDescent="0.3">
      <c r="F872" s="39"/>
    </row>
    <row r="873" spans="6:6" x14ac:dyDescent="0.3">
      <c r="F873" s="39"/>
    </row>
    <row r="874" spans="6:6" x14ac:dyDescent="0.3">
      <c r="F874" s="39"/>
    </row>
    <row r="875" spans="6:6" x14ac:dyDescent="0.3">
      <c r="F875" s="39"/>
    </row>
    <row r="876" spans="6:6" x14ac:dyDescent="0.3">
      <c r="F876" s="39"/>
    </row>
    <row r="877" spans="6:6" x14ac:dyDescent="0.3">
      <c r="F877" s="39"/>
    </row>
    <row r="878" spans="6:6" x14ac:dyDescent="0.3">
      <c r="F878" s="39"/>
    </row>
    <row r="879" spans="6:6" x14ac:dyDescent="0.3">
      <c r="F879" s="39"/>
    </row>
    <row r="880" spans="6:6" x14ac:dyDescent="0.3">
      <c r="F880" s="39"/>
    </row>
    <row r="881" spans="6:6" x14ac:dyDescent="0.3">
      <c r="F881" s="39"/>
    </row>
    <row r="882" spans="6:6" x14ac:dyDescent="0.3">
      <c r="F882" s="39"/>
    </row>
    <row r="883" spans="6:6" x14ac:dyDescent="0.3">
      <c r="F883" s="39"/>
    </row>
    <row r="884" spans="6:6" x14ac:dyDescent="0.3">
      <c r="F884" s="39"/>
    </row>
    <row r="885" spans="6:6" x14ac:dyDescent="0.3">
      <c r="F885" s="39"/>
    </row>
    <row r="886" spans="6:6" x14ac:dyDescent="0.3">
      <c r="F886" s="39"/>
    </row>
    <row r="887" spans="6:6" x14ac:dyDescent="0.3">
      <c r="F887" s="39"/>
    </row>
    <row r="888" spans="6:6" x14ac:dyDescent="0.3">
      <c r="F888" s="39"/>
    </row>
    <row r="889" spans="6:6" x14ac:dyDescent="0.3">
      <c r="F889" s="39"/>
    </row>
    <row r="890" spans="6:6" x14ac:dyDescent="0.3">
      <c r="F890" s="39"/>
    </row>
    <row r="891" spans="6:6" x14ac:dyDescent="0.3">
      <c r="F891" s="39"/>
    </row>
    <row r="892" spans="6:6" x14ac:dyDescent="0.3">
      <c r="F892" s="39"/>
    </row>
    <row r="893" spans="6:6" x14ac:dyDescent="0.3">
      <c r="F893" s="39"/>
    </row>
    <row r="894" spans="6:6" x14ac:dyDescent="0.3">
      <c r="F894" s="39"/>
    </row>
    <row r="895" spans="6:6" x14ac:dyDescent="0.3">
      <c r="F895" s="39"/>
    </row>
    <row r="896" spans="6:6" x14ac:dyDescent="0.3">
      <c r="F896" s="39"/>
    </row>
    <row r="897" spans="6:6" x14ac:dyDescent="0.3">
      <c r="F897" s="39"/>
    </row>
    <row r="898" spans="6:6" x14ac:dyDescent="0.3">
      <c r="F898" s="39"/>
    </row>
    <row r="899" spans="6:6" x14ac:dyDescent="0.3">
      <c r="F899" s="39"/>
    </row>
    <row r="900" spans="6:6" x14ac:dyDescent="0.3">
      <c r="F900" s="39"/>
    </row>
    <row r="901" spans="6:6" x14ac:dyDescent="0.3">
      <c r="F901" s="39"/>
    </row>
    <row r="902" spans="6:6" x14ac:dyDescent="0.3">
      <c r="F902" s="39"/>
    </row>
    <row r="903" spans="6:6" x14ac:dyDescent="0.3">
      <c r="F903" s="39"/>
    </row>
    <row r="904" spans="6:6" x14ac:dyDescent="0.3">
      <c r="F904" s="39"/>
    </row>
    <row r="905" spans="6:6" x14ac:dyDescent="0.3">
      <c r="F905" s="39"/>
    </row>
    <row r="906" spans="6:6" x14ac:dyDescent="0.3">
      <c r="F906" s="39"/>
    </row>
    <row r="907" spans="6:6" x14ac:dyDescent="0.3">
      <c r="F907" s="39"/>
    </row>
    <row r="908" spans="6:6" x14ac:dyDescent="0.3">
      <c r="F908" s="39"/>
    </row>
    <row r="909" spans="6:6" x14ac:dyDescent="0.3">
      <c r="F909" s="39"/>
    </row>
    <row r="910" spans="6:6" x14ac:dyDescent="0.3">
      <c r="F910" s="39"/>
    </row>
    <row r="911" spans="6:6" x14ac:dyDescent="0.3">
      <c r="F911" s="39"/>
    </row>
    <row r="912" spans="6:6" x14ac:dyDescent="0.3">
      <c r="F912" s="39"/>
    </row>
    <row r="913" spans="6:6" x14ac:dyDescent="0.3">
      <c r="F913" s="39"/>
    </row>
    <row r="914" spans="6:6" x14ac:dyDescent="0.3">
      <c r="F914" s="39"/>
    </row>
    <row r="915" spans="6:6" x14ac:dyDescent="0.3">
      <c r="F915" s="39"/>
    </row>
    <row r="916" spans="6:6" x14ac:dyDescent="0.3">
      <c r="F916" s="39"/>
    </row>
    <row r="917" spans="6:6" x14ac:dyDescent="0.3">
      <c r="F917" s="39"/>
    </row>
    <row r="918" spans="6:6" x14ac:dyDescent="0.3">
      <c r="F918" s="39"/>
    </row>
    <row r="919" spans="6:6" x14ac:dyDescent="0.3">
      <c r="F919" s="39"/>
    </row>
    <row r="920" spans="6:6" x14ac:dyDescent="0.3">
      <c r="F920" s="39"/>
    </row>
    <row r="921" spans="6:6" x14ac:dyDescent="0.3">
      <c r="F921" s="39"/>
    </row>
    <row r="922" spans="6:6" x14ac:dyDescent="0.3">
      <c r="F922" s="39"/>
    </row>
    <row r="923" spans="6:6" x14ac:dyDescent="0.3">
      <c r="F923" s="39"/>
    </row>
    <row r="924" spans="6:6" x14ac:dyDescent="0.3">
      <c r="F924" s="39"/>
    </row>
    <row r="925" spans="6:6" x14ac:dyDescent="0.3">
      <c r="F925" s="39"/>
    </row>
    <row r="926" spans="6:6" x14ac:dyDescent="0.3">
      <c r="F926" s="39"/>
    </row>
    <row r="927" spans="6:6" x14ac:dyDescent="0.3">
      <c r="F927" s="39"/>
    </row>
    <row r="928" spans="6:6" x14ac:dyDescent="0.3">
      <c r="F928" s="39"/>
    </row>
    <row r="929" spans="6:6" x14ac:dyDescent="0.3">
      <c r="F929" s="39"/>
    </row>
    <row r="930" spans="6:6" x14ac:dyDescent="0.3">
      <c r="F930" s="39"/>
    </row>
    <row r="931" spans="6:6" x14ac:dyDescent="0.3">
      <c r="F931" s="39"/>
    </row>
    <row r="932" spans="6:6" x14ac:dyDescent="0.3">
      <c r="F932" s="39"/>
    </row>
    <row r="933" spans="6:6" x14ac:dyDescent="0.3">
      <c r="F933" s="39"/>
    </row>
    <row r="934" spans="6:6" x14ac:dyDescent="0.3">
      <c r="F934" s="39"/>
    </row>
    <row r="935" spans="6:6" x14ac:dyDescent="0.3">
      <c r="F935" s="39"/>
    </row>
    <row r="936" spans="6:6" x14ac:dyDescent="0.3">
      <c r="F936" s="39"/>
    </row>
    <row r="937" spans="6:6" x14ac:dyDescent="0.3">
      <c r="F937" s="39"/>
    </row>
    <row r="938" spans="6:6" x14ac:dyDescent="0.3">
      <c r="F938" s="39"/>
    </row>
    <row r="939" spans="6:6" x14ac:dyDescent="0.3">
      <c r="F939" s="39"/>
    </row>
    <row r="940" spans="6:6" x14ac:dyDescent="0.3">
      <c r="F940" s="39"/>
    </row>
    <row r="941" spans="6:6" x14ac:dyDescent="0.3">
      <c r="F941" s="39"/>
    </row>
    <row r="942" spans="6:6" x14ac:dyDescent="0.3">
      <c r="F942" s="39"/>
    </row>
    <row r="943" spans="6:6" x14ac:dyDescent="0.3">
      <c r="F943" s="39"/>
    </row>
    <row r="944" spans="6:6" x14ac:dyDescent="0.3">
      <c r="F944" s="39"/>
    </row>
    <row r="945" spans="6:6" x14ac:dyDescent="0.3">
      <c r="F945" s="39"/>
    </row>
    <row r="946" spans="6:6" x14ac:dyDescent="0.3">
      <c r="F946" s="39"/>
    </row>
    <row r="947" spans="6:6" x14ac:dyDescent="0.3">
      <c r="F947" s="39"/>
    </row>
    <row r="948" spans="6:6" x14ac:dyDescent="0.3">
      <c r="F948" s="39"/>
    </row>
    <row r="949" spans="6:6" x14ac:dyDescent="0.3">
      <c r="F949" s="39"/>
    </row>
    <row r="950" spans="6:6" x14ac:dyDescent="0.3">
      <c r="F950" s="39"/>
    </row>
    <row r="951" spans="6:6" x14ac:dyDescent="0.3">
      <c r="F951" s="39"/>
    </row>
    <row r="952" spans="6:6" x14ac:dyDescent="0.3">
      <c r="F952" s="39"/>
    </row>
    <row r="953" spans="6:6" x14ac:dyDescent="0.3">
      <c r="F953" s="39"/>
    </row>
    <row r="954" spans="6:6" x14ac:dyDescent="0.3">
      <c r="F954" s="39"/>
    </row>
    <row r="955" spans="6:6" x14ac:dyDescent="0.3">
      <c r="F955" s="39"/>
    </row>
    <row r="956" spans="6:6" x14ac:dyDescent="0.3">
      <c r="F956" s="39"/>
    </row>
    <row r="957" spans="6:6" x14ac:dyDescent="0.3">
      <c r="F957" s="39"/>
    </row>
    <row r="958" spans="6:6" x14ac:dyDescent="0.3">
      <c r="F958" s="39"/>
    </row>
    <row r="959" spans="6:6" x14ac:dyDescent="0.3">
      <c r="F959" s="39"/>
    </row>
    <row r="960" spans="6:6" x14ac:dyDescent="0.3">
      <c r="F960" s="39"/>
    </row>
    <row r="961" spans="6:6" x14ac:dyDescent="0.3">
      <c r="F961" s="39"/>
    </row>
    <row r="962" spans="6:6" x14ac:dyDescent="0.3">
      <c r="F962" s="39"/>
    </row>
    <row r="963" spans="6:6" x14ac:dyDescent="0.3">
      <c r="F963" s="39"/>
    </row>
    <row r="964" spans="6:6" x14ac:dyDescent="0.3">
      <c r="F964" s="39"/>
    </row>
    <row r="965" spans="6:6" x14ac:dyDescent="0.3">
      <c r="F965" s="39"/>
    </row>
    <row r="966" spans="6:6" x14ac:dyDescent="0.3">
      <c r="F966" s="39"/>
    </row>
    <row r="967" spans="6:6" x14ac:dyDescent="0.3">
      <c r="F967" s="39"/>
    </row>
    <row r="968" spans="6:6" x14ac:dyDescent="0.3">
      <c r="F968" s="39"/>
    </row>
    <row r="969" spans="6:6" x14ac:dyDescent="0.3">
      <c r="F969" s="39"/>
    </row>
    <row r="970" spans="6:6" x14ac:dyDescent="0.3">
      <c r="F970" s="39"/>
    </row>
    <row r="971" spans="6:6" x14ac:dyDescent="0.3">
      <c r="F971" s="39"/>
    </row>
    <row r="972" spans="6:6" x14ac:dyDescent="0.3">
      <c r="F972" s="39"/>
    </row>
    <row r="973" spans="6:6" x14ac:dyDescent="0.3">
      <c r="F973" s="39"/>
    </row>
    <row r="974" spans="6:6" x14ac:dyDescent="0.3">
      <c r="F974" s="39"/>
    </row>
    <row r="975" spans="6:6" x14ac:dyDescent="0.3">
      <c r="F975" s="39"/>
    </row>
    <row r="976" spans="6:6" x14ac:dyDescent="0.3">
      <c r="F976" s="39"/>
    </row>
    <row r="977" spans="6:6" x14ac:dyDescent="0.3">
      <c r="F977" s="39"/>
    </row>
    <row r="978" spans="6:6" x14ac:dyDescent="0.3">
      <c r="F978" s="39"/>
    </row>
    <row r="979" spans="6:6" x14ac:dyDescent="0.3">
      <c r="F979" s="39"/>
    </row>
    <row r="980" spans="6:6" x14ac:dyDescent="0.3">
      <c r="F980" s="39"/>
    </row>
    <row r="981" spans="6:6" x14ac:dyDescent="0.3">
      <c r="F981" s="39"/>
    </row>
    <row r="982" spans="6:6" x14ac:dyDescent="0.3">
      <c r="F982" s="39"/>
    </row>
    <row r="983" spans="6:6" x14ac:dyDescent="0.3">
      <c r="F983" s="39"/>
    </row>
    <row r="984" spans="6:6" x14ac:dyDescent="0.3">
      <c r="F984" s="39"/>
    </row>
    <row r="985" spans="6:6" x14ac:dyDescent="0.3">
      <c r="F985" s="39"/>
    </row>
    <row r="986" spans="6:6" x14ac:dyDescent="0.3">
      <c r="F986" s="39"/>
    </row>
    <row r="987" spans="6:6" x14ac:dyDescent="0.3">
      <c r="F987" s="39"/>
    </row>
    <row r="988" spans="6:6" x14ac:dyDescent="0.3">
      <c r="F988" s="39"/>
    </row>
    <row r="989" spans="6:6" x14ac:dyDescent="0.3">
      <c r="F989" s="39"/>
    </row>
    <row r="990" spans="6:6" x14ac:dyDescent="0.3">
      <c r="F990" s="39"/>
    </row>
    <row r="991" spans="6:6" x14ac:dyDescent="0.3">
      <c r="F991" s="39"/>
    </row>
    <row r="992" spans="6:6" x14ac:dyDescent="0.3">
      <c r="F992" s="39"/>
    </row>
    <row r="993" spans="6:6" x14ac:dyDescent="0.3">
      <c r="F993" s="39"/>
    </row>
    <row r="994" spans="6:6" x14ac:dyDescent="0.3">
      <c r="F994" s="39"/>
    </row>
    <row r="995" spans="6:6" x14ac:dyDescent="0.3">
      <c r="F995" s="39"/>
    </row>
    <row r="996" spans="6:6" x14ac:dyDescent="0.3">
      <c r="F996" s="39"/>
    </row>
    <row r="997" spans="6:6" x14ac:dyDescent="0.3">
      <c r="F997" s="39"/>
    </row>
    <row r="998" spans="6:6" x14ac:dyDescent="0.3">
      <c r="F998" s="39"/>
    </row>
    <row r="999" spans="6:6" x14ac:dyDescent="0.3">
      <c r="F999" s="39"/>
    </row>
    <row r="1000" spans="6:6" x14ac:dyDescent="0.3">
      <c r="F1000" s="39"/>
    </row>
  </sheetData>
  <hyperlinks>
    <hyperlink ref="G2" r:id="rId3" display="mailto:jrmoreno@devam.com.mx" xr:uid="{00000000-0004-0000-0E00-000000000000}"/>
    <hyperlink ref="G15" r:id="rId4" display="mailto:svilla@devam.com.mx" xr:uid="{00000000-0004-0000-0E00-000001000000}"/>
    <hyperlink ref="G24" r:id="rId5" display="mailto:vvilla@devam.com.mx" xr:uid="{00000000-0004-0000-0E00-000002000000}"/>
    <hyperlink ref="E63" r:id="rId6" display="mailto:jrmoreno@devam.com.mx" xr:uid="{00000000-0004-0000-0E00-000003000000}"/>
    <hyperlink ref="E64" r:id="rId7" display="mailto:jrmoreno@devam.com.mx" xr:uid="{00000000-0004-0000-0E00-000004000000}"/>
    <hyperlink ref="A65" r:id="rId8" display="mailto:jrmoreno@devam.com.mx" xr:uid="{00000000-0004-0000-0E00-000005000000}"/>
    <hyperlink ref="D67" r:id="rId9" display="mailto:svilla@devam.com.mx" xr:uid="{00000000-0004-0000-0E00-000006000000}"/>
    <hyperlink ref="E67" r:id="rId10" display="mailto:vvilla@devam.com.mx" xr:uid="{00000000-0004-0000-0E00-000007000000}"/>
    <hyperlink ref="D69" r:id="rId11" display="mailto:svilla@devam.com.mx" xr:uid="{00000000-0004-0000-0E00-000008000000}"/>
    <hyperlink ref="E69" r:id="rId12" display="mailto:vvilla@devam.com.mx" xr:uid="{00000000-0004-0000-0E00-000009000000}"/>
    <hyperlink ref="D71" r:id="rId13" display="mailto:svilla@devam.com.mx" xr:uid="{00000000-0004-0000-0E00-00000A000000}"/>
    <hyperlink ref="A105" r:id="rId14" display="mailto:svilla@devam.com.mx" xr:uid="{00000000-0004-0000-0E00-00000B000000}"/>
    <hyperlink ref="A114" r:id="rId15" display="mailto:vvilla@devam.com.mx" xr:uid="{00000000-0004-0000-0E00-00000C000000}"/>
    <hyperlink ref="D114" r:id="rId16" display="mailto:svilla@devam.com.mx" xr:uid="{00000000-0004-0000-0E00-00000D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1000"/>
  <sheetViews>
    <sheetView tabSelected="1" workbookViewId="0"/>
  </sheetViews>
  <sheetFormatPr baseColWidth="10" defaultColWidth="11.19921875" defaultRowHeight="15" customHeight="1" x14ac:dyDescent="0.3"/>
  <cols>
    <col min="1" max="1" width="24.59765625" customWidth="1"/>
    <col min="2" max="2" width="59.796875" customWidth="1"/>
    <col min="3" max="3" width="57.59765625" customWidth="1"/>
    <col min="4" max="4" width="17.8984375" customWidth="1"/>
    <col min="5" max="5" width="21.8984375" customWidth="1"/>
    <col min="7" max="7" width="24.59765625" customWidth="1"/>
    <col min="8" max="8" width="58.8984375" customWidth="1"/>
    <col min="9" max="9" width="57.59765625" customWidth="1"/>
    <col min="10" max="10" width="58.8984375" customWidth="1"/>
  </cols>
  <sheetData>
    <row r="1" spans="1:8" x14ac:dyDescent="0.3">
      <c r="A1" s="41" t="s">
        <v>73</v>
      </c>
      <c r="B1" s="41" t="s">
        <v>1</v>
      </c>
      <c r="C1" s="41" t="s">
        <v>72</v>
      </c>
      <c r="D1" s="41" t="s">
        <v>74</v>
      </c>
      <c r="E1" s="42" t="s">
        <v>75</v>
      </c>
      <c r="G1" s="38"/>
    </row>
    <row r="2" spans="1:8" x14ac:dyDescent="0.3">
      <c r="A2" s="43" t="s">
        <v>13</v>
      </c>
      <c r="B2" s="43" t="s">
        <v>135</v>
      </c>
      <c r="C2" s="43" t="s">
        <v>143</v>
      </c>
      <c r="D2" s="43" t="s">
        <v>10</v>
      </c>
      <c r="E2" s="44" t="s">
        <v>165</v>
      </c>
    </row>
    <row r="3" spans="1:8" x14ac:dyDescent="0.3">
      <c r="A3" s="43" t="s">
        <v>17</v>
      </c>
      <c r="B3" s="43" t="s">
        <v>135</v>
      </c>
      <c r="C3" s="43" t="s">
        <v>152</v>
      </c>
      <c r="D3" s="43" t="s">
        <v>13</v>
      </c>
      <c r="E3" s="44" t="s">
        <v>165</v>
      </c>
    </row>
    <row r="4" spans="1:8" x14ac:dyDescent="0.3">
      <c r="A4" s="45"/>
      <c r="B4" s="45"/>
      <c r="C4" s="43" t="s">
        <v>154</v>
      </c>
      <c r="D4" s="43" t="s">
        <v>6</v>
      </c>
      <c r="E4" s="44" t="s">
        <v>165</v>
      </c>
    </row>
    <row r="5" spans="1:8" x14ac:dyDescent="0.3">
      <c r="A5" s="43" t="s">
        <v>7</v>
      </c>
      <c r="B5" s="43" t="s">
        <v>2</v>
      </c>
      <c r="C5" s="43" t="s">
        <v>78</v>
      </c>
      <c r="D5" s="43" t="s">
        <v>6</v>
      </c>
      <c r="E5" s="44" t="s">
        <v>10</v>
      </c>
    </row>
    <row r="6" spans="1:8" x14ac:dyDescent="0.3">
      <c r="A6" s="45"/>
      <c r="B6" s="45"/>
      <c r="C6" s="43" t="s">
        <v>79</v>
      </c>
      <c r="D6" s="43" t="s">
        <v>6</v>
      </c>
      <c r="E6" s="44" t="s">
        <v>10</v>
      </c>
    </row>
    <row r="7" spans="1:8" x14ac:dyDescent="0.3">
      <c r="A7" s="45"/>
      <c r="B7" s="45"/>
      <c r="C7" s="43" t="s">
        <v>32</v>
      </c>
      <c r="D7" s="43" t="s">
        <v>82</v>
      </c>
      <c r="E7" s="44" t="s">
        <v>83</v>
      </c>
    </row>
    <row r="8" spans="1:8" x14ac:dyDescent="0.3">
      <c r="A8" s="45"/>
      <c r="B8" s="45"/>
      <c r="C8" s="43" t="s">
        <v>33</v>
      </c>
      <c r="D8" s="43" t="s">
        <v>82</v>
      </c>
      <c r="E8" s="44" t="s">
        <v>83</v>
      </c>
    </row>
    <row r="9" spans="1:8" x14ac:dyDescent="0.3">
      <c r="A9" s="45"/>
      <c r="B9" s="45"/>
      <c r="C9" s="43" t="s">
        <v>86</v>
      </c>
      <c r="D9" s="43" t="s">
        <v>9</v>
      </c>
      <c r="E9" s="44" t="s">
        <v>6</v>
      </c>
    </row>
    <row r="10" spans="1:8" x14ac:dyDescent="0.3">
      <c r="A10" s="45"/>
      <c r="B10" s="43" t="s">
        <v>4</v>
      </c>
      <c r="C10" s="43" t="s">
        <v>109</v>
      </c>
      <c r="D10" s="43" t="s">
        <v>82</v>
      </c>
      <c r="E10" s="44" t="s">
        <v>83</v>
      </c>
    </row>
    <row r="11" spans="1:8" x14ac:dyDescent="0.3">
      <c r="A11" s="45"/>
      <c r="B11" s="45"/>
      <c r="C11" s="43" t="s">
        <v>23</v>
      </c>
      <c r="D11" s="43" t="s">
        <v>82</v>
      </c>
      <c r="E11" s="44" t="s">
        <v>83</v>
      </c>
    </row>
    <row r="12" spans="1:8" x14ac:dyDescent="0.3">
      <c r="A12" s="43" t="s">
        <v>18</v>
      </c>
      <c r="B12" s="43" t="s">
        <v>4</v>
      </c>
      <c r="C12" s="43" t="s">
        <v>115</v>
      </c>
      <c r="D12" s="43" t="s">
        <v>16</v>
      </c>
      <c r="E12" s="44" t="s">
        <v>165</v>
      </c>
    </row>
    <row r="13" spans="1:8" x14ac:dyDescent="0.3">
      <c r="A13" s="43" t="s">
        <v>16</v>
      </c>
      <c r="B13" s="43" t="s">
        <v>55</v>
      </c>
      <c r="C13" s="43" t="s">
        <v>99</v>
      </c>
      <c r="D13" s="43" t="s">
        <v>18</v>
      </c>
      <c r="E13" s="44" t="s">
        <v>165</v>
      </c>
    </row>
    <row r="14" spans="1:8" x14ac:dyDescent="0.3">
      <c r="A14" s="43" t="s">
        <v>82</v>
      </c>
      <c r="B14" s="43" t="s">
        <v>3</v>
      </c>
      <c r="C14" s="43" t="s">
        <v>126</v>
      </c>
      <c r="D14" s="43" t="s">
        <v>83</v>
      </c>
      <c r="E14" s="44" t="s">
        <v>165</v>
      </c>
    </row>
    <row r="15" spans="1:8" x14ac:dyDescent="0.3">
      <c r="A15" s="45"/>
      <c r="B15" s="43" t="s">
        <v>21</v>
      </c>
      <c r="C15" s="43" t="s">
        <v>56</v>
      </c>
      <c r="D15" s="43" t="s">
        <v>83</v>
      </c>
      <c r="E15" s="44" t="s">
        <v>9</v>
      </c>
      <c r="H15" s="40"/>
    </row>
    <row r="16" spans="1:8" x14ac:dyDescent="0.3">
      <c r="A16" s="45"/>
      <c r="B16" s="45"/>
      <c r="C16" s="43" t="s">
        <v>14</v>
      </c>
      <c r="D16" s="43" t="s">
        <v>83</v>
      </c>
      <c r="E16" s="44" t="s">
        <v>9</v>
      </c>
      <c r="H16" s="40"/>
    </row>
    <row r="17" spans="1:8" x14ac:dyDescent="0.3">
      <c r="A17" s="45"/>
      <c r="B17" s="43" t="s">
        <v>55</v>
      </c>
      <c r="C17" s="43" t="s">
        <v>56</v>
      </c>
      <c r="D17" s="43" t="s">
        <v>83</v>
      </c>
      <c r="E17" s="44" t="s">
        <v>8</v>
      </c>
      <c r="H17" s="40"/>
    </row>
    <row r="18" spans="1:8" x14ac:dyDescent="0.3">
      <c r="A18" s="45"/>
      <c r="B18" s="45"/>
      <c r="C18" s="43" t="s">
        <v>14</v>
      </c>
      <c r="D18" s="43" t="s">
        <v>83</v>
      </c>
      <c r="E18" s="44" t="s">
        <v>8</v>
      </c>
      <c r="H18" s="40"/>
    </row>
    <row r="19" spans="1:8" x14ac:dyDescent="0.3">
      <c r="A19" s="45"/>
      <c r="B19" s="43" t="s">
        <v>28</v>
      </c>
      <c r="C19" s="43" t="s">
        <v>14</v>
      </c>
      <c r="D19" s="43" t="s">
        <v>83</v>
      </c>
      <c r="E19" s="44" t="s">
        <v>165</v>
      </c>
      <c r="H19" s="40"/>
    </row>
    <row r="20" spans="1:8" x14ac:dyDescent="0.3">
      <c r="A20" s="45"/>
      <c r="B20" s="45"/>
      <c r="C20" s="43" t="s">
        <v>24</v>
      </c>
      <c r="D20" s="43" t="s">
        <v>83</v>
      </c>
      <c r="E20" s="44" t="s">
        <v>165</v>
      </c>
    </row>
    <row r="21" spans="1:8" x14ac:dyDescent="0.3">
      <c r="A21" s="45"/>
      <c r="B21" s="43" t="s">
        <v>4</v>
      </c>
      <c r="C21" s="43" t="s">
        <v>110</v>
      </c>
      <c r="D21" s="43" t="s">
        <v>83</v>
      </c>
      <c r="E21" s="44" t="s">
        <v>7</v>
      </c>
    </row>
    <row r="22" spans="1:8" x14ac:dyDescent="0.3">
      <c r="A22" s="45"/>
      <c r="B22" s="45"/>
      <c r="C22" s="43" t="s">
        <v>111</v>
      </c>
      <c r="D22" s="43" t="s">
        <v>83</v>
      </c>
      <c r="E22" s="44" t="s">
        <v>7</v>
      </c>
    </row>
    <row r="23" spans="1:8" x14ac:dyDescent="0.3">
      <c r="A23" s="43" t="s">
        <v>11</v>
      </c>
      <c r="B23" s="43" t="s">
        <v>3</v>
      </c>
      <c r="C23" s="43" t="s">
        <v>125</v>
      </c>
      <c r="D23" s="43" t="s">
        <v>9</v>
      </c>
      <c r="E23" s="44" t="s">
        <v>165</v>
      </c>
    </row>
    <row r="24" spans="1:8" x14ac:dyDescent="0.3">
      <c r="A24" s="45"/>
      <c r="B24" s="43" t="s">
        <v>4</v>
      </c>
      <c r="C24" s="43" t="s">
        <v>68</v>
      </c>
      <c r="D24" s="43" t="s">
        <v>7</v>
      </c>
      <c r="E24" s="44" t="s">
        <v>50</v>
      </c>
    </row>
    <row r="25" spans="1:8" x14ac:dyDescent="0.3">
      <c r="A25" s="45"/>
      <c r="B25" s="45"/>
      <c r="C25" s="43" t="s">
        <v>67</v>
      </c>
      <c r="D25" s="43" t="s">
        <v>7</v>
      </c>
      <c r="E25" s="44" t="s">
        <v>50</v>
      </c>
    </row>
    <row r="26" spans="1:8" x14ac:dyDescent="0.3">
      <c r="A26" s="43" t="s">
        <v>50</v>
      </c>
      <c r="B26" s="43" t="s">
        <v>3</v>
      </c>
      <c r="C26" s="43" t="s">
        <v>66</v>
      </c>
      <c r="D26" s="43" t="s">
        <v>123</v>
      </c>
      <c r="E26" s="44" t="s">
        <v>165</v>
      </c>
    </row>
    <row r="27" spans="1:8" x14ac:dyDescent="0.3">
      <c r="A27" s="45"/>
      <c r="B27" s="45"/>
      <c r="C27" s="43" t="s">
        <v>68</v>
      </c>
      <c r="D27" s="43" t="s">
        <v>123</v>
      </c>
      <c r="E27" s="44" t="s">
        <v>165</v>
      </c>
    </row>
    <row r="28" spans="1:8" x14ac:dyDescent="0.3">
      <c r="A28" s="45"/>
      <c r="B28" s="45"/>
      <c r="C28" s="43" t="s">
        <v>62</v>
      </c>
      <c r="D28" s="43" t="s">
        <v>46</v>
      </c>
      <c r="E28" s="44" t="s">
        <v>52</v>
      </c>
    </row>
    <row r="29" spans="1:8" x14ac:dyDescent="0.3">
      <c r="A29" s="45"/>
      <c r="B29" s="43" t="s">
        <v>5</v>
      </c>
      <c r="C29" s="43" t="s">
        <v>129</v>
      </c>
      <c r="D29" s="43" t="s">
        <v>46</v>
      </c>
      <c r="E29" s="44" t="s">
        <v>52</v>
      </c>
    </row>
    <row r="30" spans="1:8" x14ac:dyDescent="0.3">
      <c r="A30" s="45"/>
      <c r="B30" s="45"/>
      <c r="C30" s="43" t="s">
        <v>132</v>
      </c>
      <c r="D30" s="43" t="s">
        <v>46</v>
      </c>
      <c r="E30" s="44" t="s">
        <v>165</v>
      </c>
    </row>
    <row r="31" spans="1:8" x14ac:dyDescent="0.3">
      <c r="A31" s="43" t="s">
        <v>8</v>
      </c>
      <c r="B31" s="43" t="s">
        <v>55</v>
      </c>
      <c r="C31" s="43" t="s">
        <v>78</v>
      </c>
      <c r="D31" s="43" t="s">
        <v>6</v>
      </c>
      <c r="E31" s="44" t="s">
        <v>10</v>
      </c>
    </row>
    <row r="32" spans="1:8" x14ac:dyDescent="0.3">
      <c r="A32" s="45"/>
      <c r="B32" s="45"/>
      <c r="C32" s="43" t="s">
        <v>79</v>
      </c>
      <c r="D32" s="43" t="s">
        <v>6</v>
      </c>
      <c r="E32" s="44" t="s">
        <v>10</v>
      </c>
    </row>
    <row r="33" spans="1:5" x14ac:dyDescent="0.3">
      <c r="A33" s="45"/>
      <c r="B33" s="45"/>
      <c r="C33" s="43" t="s">
        <v>30</v>
      </c>
      <c r="D33" s="43" t="s">
        <v>6</v>
      </c>
      <c r="E33" s="44" t="s">
        <v>165</v>
      </c>
    </row>
    <row r="34" spans="1:5" x14ac:dyDescent="0.3">
      <c r="A34" s="45"/>
      <c r="B34" s="45"/>
      <c r="C34" s="43" t="s">
        <v>32</v>
      </c>
      <c r="D34" s="43" t="s">
        <v>82</v>
      </c>
      <c r="E34" s="44" t="s">
        <v>83</v>
      </c>
    </row>
    <row r="35" spans="1:5" x14ac:dyDescent="0.3">
      <c r="A35" s="45"/>
      <c r="B35" s="45"/>
      <c r="C35" s="43" t="s">
        <v>33</v>
      </c>
      <c r="D35" s="43" t="s">
        <v>82</v>
      </c>
      <c r="E35" s="44" t="s">
        <v>83</v>
      </c>
    </row>
    <row r="36" spans="1:5" x14ac:dyDescent="0.3">
      <c r="A36" s="43" t="s">
        <v>34</v>
      </c>
      <c r="B36" s="43" t="s">
        <v>2</v>
      </c>
      <c r="C36" s="43" t="s">
        <v>35</v>
      </c>
      <c r="D36" s="43" t="s">
        <v>6</v>
      </c>
      <c r="E36" s="44" t="s">
        <v>165</v>
      </c>
    </row>
    <row r="37" spans="1:5" x14ac:dyDescent="0.3">
      <c r="A37" s="45"/>
      <c r="B37" s="45"/>
      <c r="C37" s="43" t="s">
        <v>38</v>
      </c>
      <c r="D37" s="43" t="s">
        <v>6</v>
      </c>
      <c r="E37" s="44" t="s">
        <v>165</v>
      </c>
    </row>
    <row r="38" spans="1:5" x14ac:dyDescent="0.3">
      <c r="A38" s="45"/>
      <c r="B38" s="45"/>
      <c r="C38" s="43" t="s">
        <v>36</v>
      </c>
      <c r="D38" s="43" t="s">
        <v>6</v>
      </c>
      <c r="E38" s="44" t="s">
        <v>165</v>
      </c>
    </row>
    <row r="39" spans="1:5" x14ac:dyDescent="0.3">
      <c r="A39" s="45"/>
      <c r="B39" s="45"/>
      <c r="C39" s="43" t="s">
        <v>37</v>
      </c>
      <c r="D39" s="43" t="s">
        <v>6</v>
      </c>
      <c r="E39" s="44" t="s">
        <v>165</v>
      </c>
    </row>
    <row r="40" spans="1:5" x14ac:dyDescent="0.3">
      <c r="A40" s="43" t="s">
        <v>9</v>
      </c>
      <c r="B40" s="43" t="s">
        <v>2</v>
      </c>
      <c r="C40" s="43" t="s">
        <v>78</v>
      </c>
      <c r="D40" s="43" t="s">
        <v>6</v>
      </c>
      <c r="E40" s="44" t="s">
        <v>10</v>
      </c>
    </row>
    <row r="41" spans="1:5" x14ac:dyDescent="0.3">
      <c r="A41" s="45"/>
      <c r="B41" s="45"/>
      <c r="C41" s="43" t="s">
        <v>79</v>
      </c>
      <c r="D41" s="43" t="s">
        <v>6</v>
      </c>
      <c r="E41" s="44" t="s">
        <v>10</v>
      </c>
    </row>
    <row r="42" spans="1:5" x14ac:dyDescent="0.3">
      <c r="A42" s="45"/>
      <c r="B42" s="45"/>
      <c r="C42" s="43" t="s">
        <v>32</v>
      </c>
      <c r="D42" s="43" t="s">
        <v>82</v>
      </c>
      <c r="E42" s="44" t="s">
        <v>83</v>
      </c>
    </row>
    <row r="43" spans="1:5" x14ac:dyDescent="0.3">
      <c r="A43" s="45"/>
      <c r="B43" s="45"/>
      <c r="C43" s="43" t="s">
        <v>33</v>
      </c>
      <c r="D43" s="43" t="s">
        <v>82</v>
      </c>
      <c r="E43" s="44" t="s">
        <v>83</v>
      </c>
    </row>
    <row r="44" spans="1:5" x14ac:dyDescent="0.3">
      <c r="A44" s="43" t="s">
        <v>46</v>
      </c>
      <c r="B44" s="43" t="s">
        <v>2</v>
      </c>
      <c r="C44" s="43">
        <v>18792590</v>
      </c>
      <c r="D44" s="43" t="s">
        <v>12</v>
      </c>
      <c r="E44" s="44" t="s">
        <v>11</v>
      </c>
    </row>
    <row r="45" spans="1:5" x14ac:dyDescent="0.3">
      <c r="A45" s="43" t="s">
        <v>96</v>
      </c>
      <c r="B45" s="43" t="s">
        <v>55</v>
      </c>
      <c r="C45" s="43" t="s">
        <v>35</v>
      </c>
      <c r="D45" s="43" t="s">
        <v>6</v>
      </c>
      <c r="E45" s="44" t="s">
        <v>165</v>
      </c>
    </row>
    <row r="46" spans="1:5" x14ac:dyDescent="0.3">
      <c r="A46" s="45"/>
      <c r="B46" s="45"/>
      <c r="C46" s="43" t="s">
        <v>38</v>
      </c>
      <c r="D46" s="43" t="s">
        <v>6</v>
      </c>
      <c r="E46" s="44" t="s">
        <v>165</v>
      </c>
    </row>
    <row r="47" spans="1:5" x14ac:dyDescent="0.3">
      <c r="A47" s="45"/>
      <c r="B47" s="45"/>
      <c r="C47" s="43" t="s">
        <v>36</v>
      </c>
      <c r="D47" s="43" t="s">
        <v>6</v>
      </c>
      <c r="E47" s="44" t="s">
        <v>165</v>
      </c>
    </row>
    <row r="48" spans="1:5" x14ac:dyDescent="0.3">
      <c r="A48" s="45"/>
      <c r="B48" s="45"/>
      <c r="C48" s="43" t="s">
        <v>37</v>
      </c>
      <c r="D48" s="43" t="s">
        <v>6</v>
      </c>
      <c r="E48" s="44" t="s">
        <v>165</v>
      </c>
    </row>
    <row r="49" spans="1:6" x14ac:dyDescent="0.3">
      <c r="A49" s="43" t="s">
        <v>52</v>
      </c>
      <c r="B49" s="43" t="s">
        <v>28</v>
      </c>
      <c r="C49" s="43" t="s">
        <v>134</v>
      </c>
      <c r="D49" s="43" t="s">
        <v>46</v>
      </c>
      <c r="E49" s="44" t="s">
        <v>165</v>
      </c>
    </row>
    <row r="50" spans="1:6" x14ac:dyDescent="0.3">
      <c r="A50" s="46" t="s">
        <v>166</v>
      </c>
      <c r="B50" s="47"/>
      <c r="C50" s="47"/>
      <c r="D50" s="47"/>
      <c r="E50" s="48"/>
    </row>
    <row r="51" spans="1:6" x14ac:dyDescent="0.3">
      <c r="F51" s="39"/>
    </row>
    <row r="52" spans="1:6" x14ac:dyDescent="0.3">
      <c r="F52" s="39"/>
    </row>
    <row r="53" spans="1:6" x14ac:dyDescent="0.3">
      <c r="F53" s="39"/>
    </row>
    <row r="54" spans="1:6" x14ac:dyDescent="0.3">
      <c r="F54" s="39"/>
    </row>
    <row r="55" spans="1:6" x14ac:dyDescent="0.3">
      <c r="F55" s="39"/>
    </row>
    <row r="56" spans="1:6" x14ac:dyDescent="0.3">
      <c r="F56" s="39"/>
    </row>
    <row r="57" spans="1:6" x14ac:dyDescent="0.3">
      <c r="F57" s="39"/>
    </row>
    <row r="58" spans="1:6" x14ac:dyDescent="0.3">
      <c r="F58" s="39"/>
    </row>
    <row r="59" spans="1:6" x14ac:dyDescent="0.3">
      <c r="F59" s="39"/>
    </row>
    <row r="60" spans="1:6" x14ac:dyDescent="0.3">
      <c r="F60" s="39"/>
    </row>
    <row r="61" spans="1:6" x14ac:dyDescent="0.3">
      <c r="F61" s="39"/>
    </row>
    <row r="62" spans="1:6" x14ac:dyDescent="0.3">
      <c r="F62" s="39"/>
    </row>
    <row r="63" spans="1:6" x14ac:dyDescent="0.3">
      <c r="F63" s="39"/>
    </row>
    <row r="64" spans="1:6" x14ac:dyDescent="0.3">
      <c r="F64" s="39"/>
    </row>
    <row r="65" spans="6:6" x14ac:dyDescent="0.3">
      <c r="F65" s="39"/>
    </row>
    <row r="66" spans="6:6" x14ac:dyDescent="0.3">
      <c r="F66" s="39"/>
    </row>
    <row r="67" spans="6:6" x14ac:dyDescent="0.3">
      <c r="F67" s="39"/>
    </row>
    <row r="68" spans="6:6" x14ac:dyDescent="0.3">
      <c r="F68" s="39"/>
    </row>
    <row r="69" spans="6:6" x14ac:dyDescent="0.3">
      <c r="F69" s="39"/>
    </row>
    <row r="70" spans="6:6" x14ac:dyDescent="0.3">
      <c r="F70" s="39"/>
    </row>
    <row r="71" spans="6:6" x14ac:dyDescent="0.3">
      <c r="F71" s="39"/>
    </row>
    <row r="72" spans="6:6" x14ac:dyDescent="0.3">
      <c r="F72" s="39"/>
    </row>
    <row r="73" spans="6:6" x14ac:dyDescent="0.3">
      <c r="F73" s="39"/>
    </row>
    <row r="74" spans="6:6" x14ac:dyDescent="0.3">
      <c r="F74" s="39"/>
    </row>
    <row r="75" spans="6:6" x14ac:dyDescent="0.3">
      <c r="F75" s="39"/>
    </row>
    <row r="76" spans="6:6" x14ac:dyDescent="0.3">
      <c r="F76" s="39"/>
    </row>
    <row r="77" spans="6:6" x14ac:dyDescent="0.3">
      <c r="F77" s="39"/>
    </row>
    <row r="78" spans="6:6" x14ac:dyDescent="0.3">
      <c r="F78" s="39"/>
    </row>
    <row r="79" spans="6:6" x14ac:dyDescent="0.3">
      <c r="F79" s="39"/>
    </row>
    <row r="80" spans="6:6" x14ac:dyDescent="0.3">
      <c r="F80" s="39"/>
    </row>
    <row r="81" spans="3:6" x14ac:dyDescent="0.3">
      <c r="F81" s="39"/>
    </row>
    <row r="82" spans="3:6" x14ac:dyDescent="0.3">
      <c r="F82" s="39"/>
    </row>
    <row r="83" spans="3:6" x14ac:dyDescent="0.3">
      <c r="F83" s="39"/>
    </row>
    <row r="84" spans="3:6" x14ac:dyDescent="0.3">
      <c r="F84" s="39"/>
    </row>
    <row r="85" spans="3:6" x14ac:dyDescent="0.3">
      <c r="F85" s="39"/>
    </row>
    <row r="86" spans="3:6" x14ac:dyDescent="0.3">
      <c r="F86" s="39"/>
    </row>
    <row r="87" spans="3:6" x14ac:dyDescent="0.3">
      <c r="F87" s="39"/>
    </row>
    <row r="88" spans="3:6" x14ac:dyDescent="0.3">
      <c r="F88" s="39"/>
    </row>
    <row r="89" spans="3:6" x14ac:dyDescent="0.3">
      <c r="F89" s="39"/>
    </row>
    <row r="90" spans="3:6" x14ac:dyDescent="0.3">
      <c r="F90" s="39"/>
    </row>
    <row r="91" spans="3:6" x14ac:dyDescent="0.3">
      <c r="F91" s="39"/>
    </row>
    <row r="92" spans="3:6" x14ac:dyDescent="0.3">
      <c r="F92" s="39"/>
    </row>
    <row r="93" spans="3:6" x14ac:dyDescent="0.3">
      <c r="F93" s="39"/>
    </row>
    <row r="94" spans="3:6" x14ac:dyDescent="0.3">
      <c r="F94" s="39"/>
    </row>
    <row r="95" spans="3:6" x14ac:dyDescent="0.3">
      <c r="F95" s="39"/>
    </row>
    <row r="96" spans="3:6" x14ac:dyDescent="0.3">
      <c r="C96" s="40"/>
      <c r="F96" s="39"/>
    </row>
    <row r="97" spans="3:6" x14ac:dyDescent="0.3">
      <c r="C97" s="40"/>
      <c r="F97" s="39"/>
    </row>
    <row r="98" spans="3:6" x14ac:dyDescent="0.3">
      <c r="C98" s="40"/>
      <c r="F98" s="39"/>
    </row>
    <row r="99" spans="3:6" x14ac:dyDescent="0.3">
      <c r="C99" s="40"/>
      <c r="F99" s="39"/>
    </row>
    <row r="100" spans="3:6" x14ac:dyDescent="0.3">
      <c r="F100" s="39"/>
    </row>
    <row r="101" spans="3:6" x14ac:dyDescent="0.3">
      <c r="F101" s="39"/>
    </row>
    <row r="102" spans="3:6" x14ac:dyDescent="0.3">
      <c r="F102" s="39"/>
    </row>
    <row r="103" spans="3:6" x14ac:dyDescent="0.3">
      <c r="F103" s="39"/>
    </row>
    <row r="104" spans="3:6" x14ac:dyDescent="0.3">
      <c r="F104" s="39"/>
    </row>
    <row r="105" spans="3:6" x14ac:dyDescent="0.3">
      <c r="F105" s="39"/>
    </row>
    <row r="106" spans="3:6" x14ac:dyDescent="0.3">
      <c r="F106" s="39"/>
    </row>
    <row r="107" spans="3:6" x14ac:dyDescent="0.3">
      <c r="F107" s="39"/>
    </row>
    <row r="108" spans="3:6" x14ac:dyDescent="0.3">
      <c r="F108" s="39"/>
    </row>
    <row r="109" spans="3:6" x14ac:dyDescent="0.3">
      <c r="F109" s="39"/>
    </row>
    <row r="110" spans="3:6" x14ac:dyDescent="0.3">
      <c r="F110" s="39"/>
    </row>
    <row r="111" spans="3:6" x14ac:dyDescent="0.3">
      <c r="F111" s="39"/>
    </row>
    <row r="112" spans="3:6" x14ac:dyDescent="0.3">
      <c r="F112" s="39"/>
    </row>
    <row r="113" spans="6:6" x14ac:dyDescent="0.3">
      <c r="F113" s="39"/>
    </row>
    <row r="114" spans="6:6" x14ac:dyDescent="0.3">
      <c r="F114" s="39"/>
    </row>
    <row r="115" spans="6:6" x14ac:dyDescent="0.3">
      <c r="F115" s="39"/>
    </row>
    <row r="116" spans="6:6" x14ac:dyDescent="0.3">
      <c r="F116" s="39"/>
    </row>
    <row r="117" spans="6:6" x14ac:dyDescent="0.3">
      <c r="F117" s="39"/>
    </row>
    <row r="118" spans="6:6" x14ac:dyDescent="0.3">
      <c r="F118" s="39"/>
    </row>
    <row r="119" spans="6:6" x14ac:dyDescent="0.3">
      <c r="F119" s="39"/>
    </row>
    <row r="120" spans="6:6" x14ac:dyDescent="0.3">
      <c r="F120" s="39"/>
    </row>
    <row r="121" spans="6:6" x14ac:dyDescent="0.3">
      <c r="F121" s="39"/>
    </row>
    <row r="122" spans="6:6" x14ac:dyDescent="0.3">
      <c r="F122" s="39"/>
    </row>
    <row r="123" spans="6:6" x14ac:dyDescent="0.3">
      <c r="F123" s="39"/>
    </row>
    <row r="124" spans="6:6" x14ac:dyDescent="0.3">
      <c r="F124" s="39"/>
    </row>
    <row r="125" spans="6:6" x14ac:dyDescent="0.3">
      <c r="F125" s="39"/>
    </row>
    <row r="126" spans="6:6" x14ac:dyDescent="0.3">
      <c r="F126" s="39"/>
    </row>
    <row r="127" spans="6:6" x14ac:dyDescent="0.3">
      <c r="F127" s="39"/>
    </row>
    <row r="128" spans="6:6" x14ac:dyDescent="0.3">
      <c r="F128" s="39"/>
    </row>
    <row r="129" spans="6:6" x14ac:dyDescent="0.3">
      <c r="F129" s="39"/>
    </row>
    <row r="130" spans="6:6" x14ac:dyDescent="0.3">
      <c r="F130" s="39"/>
    </row>
    <row r="131" spans="6:6" x14ac:dyDescent="0.3">
      <c r="F131" s="39"/>
    </row>
    <row r="132" spans="6:6" x14ac:dyDescent="0.3">
      <c r="F132" s="39"/>
    </row>
    <row r="133" spans="6:6" x14ac:dyDescent="0.3">
      <c r="F133" s="39"/>
    </row>
    <row r="134" spans="6:6" x14ac:dyDescent="0.3">
      <c r="F134" s="39"/>
    </row>
    <row r="135" spans="6:6" x14ac:dyDescent="0.3">
      <c r="F135" s="39"/>
    </row>
    <row r="136" spans="6:6" x14ac:dyDescent="0.3">
      <c r="F136" s="39"/>
    </row>
    <row r="137" spans="6:6" x14ac:dyDescent="0.3">
      <c r="F137" s="39"/>
    </row>
    <row r="138" spans="6:6" x14ac:dyDescent="0.3">
      <c r="F138" s="39"/>
    </row>
    <row r="139" spans="6:6" x14ac:dyDescent="0.3">
      <c r="F139" s="39"/>
    </row>
    <row r="140" spans="6:6" x14ac:dyDescent="0.3">
      <c r="F140" s="39"/>
    </row>
    <row r="141" spans="6:6" x14ac:dyDescent="0.3">
      <c r="F141" s="39"/>
    </row>
    <row r="142" spans="6:6" x14ac:dyDescent="0.3">
      <c r="F142" s="39"/>
    </row>
    <row r="143" spans="6:6" x14ac:dyDescent="0.3">
      <c r="F143" s="39"/>
    </row>
    <row r="144" spans="6:6" x14ac:dyDescent="0.3">
      <c r="F144" s="39"/>
    </row>
    <row r="145" spans="6:6" x14ac:dyDescent="0.3">
      <c r="F145" s="39"/>
    </row>
    <row r="146" spans="6:6" x14ac:dyDescent="0.3">
      <c r="F146" s="39"/>
    </row>
    <row r="147" spans="6:6" x14ac:dyDescent="0.3">
      <c r="F147" s="39"/>
    </row>
    <row r="148" spans="6:6" x14ac:dyDescent="0.3">
      <c r="F148" s="39"/>
    </row>
    <row r="149" spans="6:6" x14ac:dyDescent="0.3">
      <c r="F149" s="39"/>
    </row>
    <row r="150" spans="6:6" x14ac:dyDescent="0.3">
      <c r="F150" s="39"/>
    </row>
    <row r="151" spans="6:6" x14ac:dyDescent="0.3">
      <c r="F151" s="39"/>
    </row>
    <row r="152" spans="6:6" x14ac:dyDescent="0.3">
      <c r="F152" s="39"/>
    </row>
    <row r="153" spans="6:6" x14ac:dyDescent="0.3">
      <c r="F153" s="39"/>
    </row>
    <row r="154" spans="6:6" x14ac:dyDescent="0.3">
      <c r="F154" s="39"/>
    </row>
    <row r="155" spans="6:6" x14ac:dyDescent="0.3">
      <c r="F155" s="39"/>
    </row>
    <row r="156" spans="6:6" x14ac:dyDescent="0.3">
      <c r="F156" s="39"/>
    </row>
    <row r="157" spans="6:6" x14ac:dyDescent="0.3">
      <c r="F157" s="39"/>
    </row>
    <row r="158" spans="6:6" x14ac:dyDescent="0.3">
      <c r="F158" s="39"/>
    </row>
    <row r="159" spans="6:6" x14ac:dyDescent="0.3">
      <c r="F159" s="39"/>
    </row>
    <row r="160" spans="6:6" x14ac:dyDescent="0.3">
      <c r="F160" s="39"/>
    </row>
    <row r="161" spans="6:6" x14ac:dyDescent="0.3">
      <c r="F161" s="39"/>
    </row>
    <row r="162" spans="6:6" x14ac:dyDescent="0.3">
      <c r="F162" s="39"/>
    </row>
    <row r="163" spans="6:6" x14ac:dyDescent="0.3">
      <c r="F163" s="39"/>
    </row>
    <row r="164" spans="6:6" x14ac:dyDescent="0.3">
      <c r="F164" s="39"/>
    </row>
    <row r="165" spans="6:6" x14ac:dyDescent="0.3">
      <c r="F165" s="39"/>
    </row>
    <row r="166" spans="6:6" x14ac:dyDescent="0.3">
      <c r="F166" s="39"/>
    </row>
    <row r="167" spans="6:6" x14ac:dyDescent="0.3">
      <c r="F167" s="39"/>
    </row>
    <row r="168" spans="6:6" x14ac:dyDescent="0.3">
      <c r="F168" s="39"/>
    </row>
    <row r="169" spans="6:6" x14ac:dyDescent="0.3">
      <c r="F169" s="39"/>
    </row>
    <row r="170" spans="6:6" x14ac:dyDescent="0.3">
      <c r="F170" s="39"/>
    </row>
    <row r="171" spans="6:6" x14ac:dyDescent="0.3">
      <c r="F171" s="39"/>
    </row>
    <row r="172" spans="6:6" x14ac:dyDescent="0.3">
      <c r="F172" s="39"/>
    </row>
    <row r="173" spans="6:6" x14ac:dyDescent="0.3">
      <c r="F173" s="39"/>
    </row>
    <row r="174" spans="6:6" x14ac:dyDescent="0.3">
      <c r="F174" s="39"/>
    </row>
    <row r="175" spans="6:6" x14ac:dyDescent="0.3">
      <c r="F175" s="39"/>
    </row>
    <row r="176" spans="6:6" x14ac:dyDescent="0.3">
      <c r="F176" s="39"/>
    </row>
    <row r="177" spans="6:6" x14ac:dyDescent="0.3">
      <c r="F177" s="39"/>
    </row>
    <row r="178" spans="6:6" x14ac:dyDescent="0.3">
      <c r="F178" s="39"/>
    </row>
    <row r="179" spans="6:6" x14ac:dyDescent="0.3">
      <c r="F179" s="39"/>
    </row>
    <row r="180" spans="6:6" x14ac:dyDescent="0.3">
      <c r="F180" s="39"/>
    </row>
    <row r="181" spans="6:6" x14ac:dyDescent="0.3">
      <c r="F181" s="39"/>
    </row>
    <row r="182" spans="6:6" x14ac:dyDescent="0.3">
      <c r="F182" s="39"/>
    </row>
    <row r="183" spans="6:6" x14ac:dyDescent="0.3">
      <c r="F183" s="39"/>
    </row>
    <row r="184" spans="6:6" x14ac:dyDescent="0.3">
      <c r="F184" s="39"/>
    </row>
    <row r="185" spans="6:6" x14ac:dyDescent="0.3">
      <c r="F185" s="39"/>
    </row>
    <row r="186" spans="6:6" x14ac:dyDescent="0.3">
      <c r="F186" s="39"/>
    </row>
    <row r="187" spans="6:6" x14ac:dyDescent="0.3">
      <c r="F187" s="39"/>
    </row>
    <row r="188" spans="6:6" x14ac:dyDescent="0.3">
      <c r="F188" s="39"/>
    </row>
    <row r="189" spans="6:6" x14ac:dyDescent="0.3">
      <c r="F189" s="39"/>
    </row>
    <row r="190" spans="6:6" x14ac:dyDescent="0.3">
      <c r="F190" s="39"/>
    </row>
    <row r="191" spans="6:6" x14ac:dyDescent="0.3">
      <c r="F191" s="39"/>
    </row>
    <row r="192" spans="6:6" x14ac:dyDescent="0.3">
      <c r="F192" s="39"/>
    </row>
    <row r="193" spans="6:6" x14ac:dyDescent="0.3">
      <c r="F193" s="39"/>
    </row>
    <row r="194" spans="6:6" x14ac:dyDescent="0.3">
      <c r="F194" s="39"/>
    </row>
    <row r="195" spans="6:6" x14ac:dyDescent="0.3">
      <c r="F195" s="39"/>
    </row>
    <row r="196" spans="6:6" x14ac:dyDescent="0.3">
      <c r="F196" s="39"/>
    </row>
    <row r="197" spans="6:6" x14ac:dyDescent="0.3">
      <c r="F197" s="39"/>
    </row>
    <row r="198" spans="6:6" x14ac:dyDescent="0.3">
      <c r="F198" s="39"/>
    </row>
    <row r="199" spans="6:6" x14ac:dyDescent="0.3">
      <c r="F199" s="39"/>
    </row>
    <row r="200" spans="6:6" x14ac:dyDescent="0.3">
      <c r="F200" s="39"/>
    </row>
    <row r="201" spans="6:6" x14ac:dyDescent="0.3">
      <c r="F201" s="39"/>
    </row>
    <row r="202" spans="6:6" x14ac:dyDescent="0.3">
      <c r="F202" s="39"/>
    </row>
    <row r="203" spans="6:6" x14ac:dyDescent="0.3">
      <c r="F203" s="39"/>
    </row>
    <row r="204" spans="6:6" x14ac:dyDescent="0.3">
      <c r="F204" s="39"/>
    </row>
    <row r="205" spans="6:6" x14ac:dyDescent="0.3">
      <c r="F205" s="39"/>
    </row>
    <row r="206" spans="6:6" x14ac:dyDescent="0.3">
      <c r="F206" s="39"/>
    </row>
    <row r="207" spans="6:6" x14ac:dyDescent="0.3">
      <c r="F207" s="39"/>
    </row>
    <row r="208" spans="6:6" x14ac:dyDescent="0.3">
      <c r="F208" s="39"/>
    </row>
    <row r="209" spans="6:6" x14ac:dyDescent="0.3">
      <c r="F209" s="39"/>
    </row>
    <row r="210" spans="6:6" x14ac:dyDescent="0.3">
      <c r="F210" s="39"/>
    </row>
    <row r="211" spans="6:6" x14ac:dyDescent="0.3">
      <c r="F211" s="39"/>
    </row>
    <row r="212" spans="6:6" x14ac:dyDescent="0.3">
      <c r="F212" s="39"/>
    </row>
    <row r="213" spans="6:6" x14ac:dyDescent="0.3">
      <c r="F213" s="39"/>
    </row>
    <row r="214" spans="6:6" x14ac:dyDescent="0.3">
      <c r="F214" s="39"/>
    </row>
    <row r="215" spans="6:6" x14ac:dyDescent="0.3">
      <c r="F215" s="39"/>
    </row>
    <row r="216" spans="6:6" x14ac:dyDescent="0.3">
      <c r="F216" s="39"/>
    </row>
    <row r="217" spans="6:6" x14ac:dyDescent="0.3">
      <c r="F217" s="39"/>
    </row>
    <row r="218" spans="6:6" x14ac:dyDescent="0.3">
      <c r="F218" s="39"/>
    </row>
    <row r="219" spans="6:6" x14ac:dyDescent="0.3">
      <c r="F219" s="39"/>
    </row>
    <row r="220" spans="6:6" x14ac:dyDescent="0.3">
      <c r="F220" s="39"/>
    </row>
    <row r="221" spans="6:6" x14ac:dyDescent="0.3">
      <c r="F221" s="39"/>
    </row>
    <row r="222" spans="6:6" x14ac:dyDescent="0.3">
      <c r="F222" s="39"/>
    </row>
    <row r="223" spans="6:6" x14ac:dyDescent="0.3">
      <c r="F223" s="39"/>
    </row>
    <row r="224" spans="6:6" x14ac:dyDescent="0.3">
      <c r="F224" s="39"/>
    </row>
    <row r="225" spans="6:6" x14ac:dyDescent="0.3">
      <c r="F225" s="39"/>
    </row>
    <row r="226" spans="6:6" x14ac:dyDescent="0.3">
      <c r="F226" s="39"/>
    </row>
    <row r="227" spans="6:6" x14ac:dyDescent="0.3">
      <c r="F227" s="39"/>
    </row>
    <row r="228" spans="6:6" x14ac:dyDescent="0.3">
      <c r="F228" s="39"/>
    </row>
    <row r="229" spans="6:6" x14ac:dyDescent="0.3">
      <c r="F229" s="39"/>
    </row>
    <row r="230" spans="6:6" x14ac:dyDescent="0.3">
      <c r="F230" s="39"/>
    </row>
    <row r="231" spans="6:6" x14ac:dyDescent="0.3">
      <c r="F231" s="39"/>
    </row>
    <row r="232" spans="6:6" x14ac:dyDescent="0.3">
      <c r="F232" s="39"/>
    </row>
    <row r="233" spans="6:6" x14ac:dyDescent="0.3">
      <c r="F233" s="39"/>
    </row>
    <row r="234" spans="6:6" x14ac:dyDescent="0.3">
      <c r="F234" s="39"/>
    </row>
    <row r="235" spans="6:6" x14ac:dyDescent="0.3">
      <c r="F235" s="39"/>
    </row>
    <row r="236" spans="6:6" x14ac:dyDescent="0.3">
      <c r="F236" s="39"/>
    </row>
    <row r="237" spans="6:6" x14ac:dyDescent="0.3">
      <c r="F237" s="39"/>
    </row>
    <row r="238" spans="6:6" x14ac:dyDescent="0.3">
      <c r="F238" s="39"/>
    </row>
    <row r="239" spans="6:6" x14ac:dyDescent="0.3">
      <c r="F239" s="39"/>
    </row>
    <row r="240" spans="6:6" x14ac:dyDescent="0.3">
      <c r="F240" s="39"/>
    </row>
    <row r="241" spans="6:6" x14ac:dyDescent="0.3">
      <c r="F241" s="39"/>
    </row>
    <row r="242" spans="6:6" x14ac:dyDescent="0.3">
      <c r="F242" s="39"/>
    </row>
    <row r="243" spans="6:6" x14ac:dyDescent="0.3">
      <c r="F243" s="39"/>
    </row>
    <row r="244" spans="6:6" x14ac:dyDescent="0.3">
      <c r="F244" s="39"/>
    </row>
    <row r="245" spans="6:6" x14ac:dyDescent="0.3">
      <c r="F245" s="39"/>
    </row>
    <row r="246" spans="6:6" x14ac:dyDescent="0.3">
      <c r="F246" s="39"/>
    </row>
    <row r="247" spans="6:6" x14ac:dyDescent="0.3">
      <c r="F247" s="39"/>
    </row>
    <row r="248" spans="6:6" x14ac:dyDescent="0.3">
      <c r="F248" s="39"/>
    </row>
    <row r="249" spans="6:6" x14ac:dyDescent="0.3">
      <c r="F249" s="39"/>
    </row>
    <row r="250" spans="6:6" x14ac:dyDescent="0.3">
      <c r="F250" s="39"/>
    </row>
    <row r="251" spans="6:6" x14ac:dyDescent="0.3">
      <c r="F251" s="39"/>
    </row>
    <row r="252" spans="6:6" x14ac:dyDescent="0.3">
      <c r="F252" s="39"/>
    </row>
    <row r="253" spans="6:6" x14ac:dyDescent="0.3">
      <c r="F253" s="39"/>
    </row>
    <row r="254" spans="6:6" x14ac:dyDescent="0.3">
      <c r="F254" s="39"/>
    </row>
    <row r="255" spans="6:6" x14ac:dyDescent="0.3">
      <c r="F255" s="39"/>
    </row>
    <row r="256" spans="6:6" x14ac:dyDescent="0.3">
      <c r="F256" s="39"/>
    </row>
    <row r="257" spans="6:6" x14ac:dyDescent="0.3">
      <c r="F257" s="39"/>
    </row>
    <row r="258" spans="6:6" x14ac:dyDescent="0.3">
      <c r="F258" s="39"/>
    </row>
    <row r="259" spans="6:6" x14ac:dyDescent="0.3">
      <c r="F259" s="39"/>
    </row>
    <row r="260" spans="6:6" x14ac:dyDescent="0.3">
      <c r="F260" s="39"/>
    </row>
    <row r="261" spans="6:6" x14ac:dyDescent="0.3">
      <c r="F261" s="39"/>
    </row>
    <row r="262" spans="6:6" x14ac:dyDescent="0.3">
      <c r="F262" s="39"/>
    </row>
    <row r="263" spans="6:6" x14ac:dyDescent="0.3">
      <c r="F263" s="39"/>
    </row>
    <row r="264" spans="6:6" x14ac:dyDescent="0.3">
      <c r="F264" s="39"/>
    </row>
    <row r="265" spans="6:6" x14ac:dyDescent="0.3">
      <c r="F265" s="39"/>
    </row>
    <row r="266" spans="6:6" x14ac:dyDescent="0.3">
      <c r="F266" s="39"/>
    </row>
    <row r="267" spans="6:6" x14ac:dyDescent="0.3">
      <c r="F267" s="39"/>
    </row>
    <row r="268" spans="6:6" x14ac:dyDescent="0.3">
      <c r="F268" s="39"/>
    </row>
    <row r="269" spans="6:6" x14ac:dyDescent="0.3">
      <c r="F269" s="39"/>
    </row>
    <row r="270" spans="6:6" x14ac:dyDescent="0.3">
      <c r="F270" s="39"/>
    </row>
    <row r="271" spans="6:6" x14ac:dyDescent="0.3">
      <c r="F271" s="39"/>
    </row>
    <row r="272" spans="6:6" x14ac:dyDescent="0.3">
      <c r="F272" s="39"/>
    </row>
    <row r="273" spans="6:6" x14ac:dyDescent="0.3">
      <c r="F273" s="39"/>
    </row>
    <row r="274" spans="6:6" x14ac:dyDescent="0.3">
      <c r="F274" s="39"/>
    </row>
    <row r="275" spans="6:6" x14ac:dyDescent="0.3">
      <c r="F275" s="39"/>
    </row>
    <row r="276" spans="6:6" x14ac:dyDescent="0.3">
      <c r="F276" s="39"/>
    </row>
    <row r="277" spans="6:6" x14ac:dyDescent="0.3">
      <c r="F277" s="39"/>
    </row>
    <row r="278" spans="6:6" x14ac:dyDescent="0.3">
      <c r="F278" s="39"/>
    </row>
    <row r="279" spans="6:6" x14ac:dyDescent="0.3">
      <c r="F279" s="39"/>
    </row>
    <row r="280" spans="6:6" x14ac:dyDescent="0.3">
      <c r="F280" s="39"/>
    </row>
    <row r="281" spans="6:6" x14ac:dyDescent="0.3">
      <c r="F281" s="39"/>
    </row>
    <row r="282" spans="6:6" x14ac:dyDescent="0.3">
      <c r="F282" s="39"/>
    </row>
    <row r="283" spans="6:6" x14ac:dyDescent="0.3">
      <c r="F283" s="39"/>
    </row>
    <row r="284" spans="6:6" x14ac:dyDescent="0.3">
      <c r="F284" s="39"/>
    </row>
    <row r="285" spans="6:6" x14ac:dyDescent="0.3">
      <c r="F285" s="39"/>
    </row>
    <row r="286" spans="6:6" x14ac:dyDescent="0.3">
      <c r="F286" s="39"/>
    </row>
    <row r="287" spans="6:6" x14ac:dyDescent="0.3">
      <c r="F287" s="39"/>
    </row>
    <row r="288" spans="6:6" x14ac:dyDescent="0.3">
      <c r="F288" s="39"/>
    </row>
    <row r="289" spans="6:6" x14ac:dyDescent="0.3">
      <c r="F289" s="39"/>
    </row>
    <row r="290" spans="6:6" x14ac:dyDescent="0.3">
      <c r="F290" s="39"/>
    </row>
    <row r="291" spans="6:6" x14ac:dyDescent="0.3">
      <c r="F291" s="39"/>
    </row>
    <row r="292" spans="6:6" x14ac:dyDescent="0.3">
      <c r="F292" s="39"/>
    </row>
    <row r="293" spans="6:6" x14ac:dyDescent="0.3">
      <c r="F293" s="39"/>
    </row>
    <row r="294" spans="6:6" x14ac:dyDescent="0.3">
      <c r="F294" s="39"/>
    </row>
    <row r="295" spans="6:6" x14ac:dyDescent="0.3">
      <c r="F295" s="39"/>
    </row>
    <row r="296" spans="6:6" x14ac:dyDescent="0.3">
      <c r="F296" s="39"/>
    </row>
    <row r="297" spans="6:6" x14ac:dyDescent="0.3">
      <c r="F297" s="39"/>
    </row>
    <row r="298" spans="6:6" x14ac:dyDescent="0.3">
      <c r="F298" s="39"/>
    </row>
    <row r="299" spans="6:6" x14ac:dyDescent="0.3">
      <c r="F299" s="39"/>
    </row>
    <row r="300" spans="6:6" x14ac:dyDescent="0.3">
      <c r="F300" s="39"/>
    </row>
    <row r="301" spans="6:6" x14ac:dyDescent="0.3">
      <c r="F301" s="39"/>
    </row>
    <row r="302" spans="6:6" x14ac:dyDescent="0.3">
      <c r="F302" s="39"/>
    </row>
    <row r="303" spans="6:6" x14ac:dyDescent="0.3">
      <c r="F303" s="39"/>
    </row>
    <row r="304" spans="6:6" x14ac:dyDescent="0.3">
      <c r="F304" s="39"/>
    </row>
    <row r="305" spans="6:6" x14ac:dyDescent="0.3">
      <c r="F305" s="39"/>
    </row>
    <row r="306" spans="6:6" x14ac:dyDescent="0.3">
      <c r="F306" s="39"/>
    </row>
    <row r="307" spans="6:6" x14ac:dyDescent="0.3">
      <c r="F307" s="39"/>
    </row>
    <row r="308" spans="6:6" x14ac:dyDescent="0.3">
      <c r="F308" s="39"/>
    </row>
    <row r="309" spans="6:6" x14ac:dyDescent="0.3">
      <c r="F309" s="39"/>
    </row>
    <row r="310" spans="6:6" x14ac:dyDescent="0.3">
      <c r="F310" s="39"/>
    </row>
    <row r="311" spans="6:6" x14ac:dyDescent="0.3">
      <c r="F311" s="39"/>
    </row>
    <row r="312" spans="6:6" x14ac:dyDescent="0.3">
      <c r="F312" s="39"/>
    </row>
    <row r="313" spans="6:6" x14ac:dyDescent="0.3">
      <c r="F313" s="39"/>
    </row>
    <row r="314" spans="6:6" x14ac:dyDescent="0.3">
      <c r="F314" s="39"/>
    </row>
    <row r="315" spans="6:6" x14ac:dyDescent="0.3">
      <c r="F315" s="39"/>
    </row>
    <row r="316" spans="6:6" x14ac:dyDescent="0.3">
      <c r="F316" s="39"/>
    </row>
    <row r="317" spans="6:6" x14ac:dyDescent="0.3">
      <c r="F317" s="39"/>
    </row>
    <row r="318" spans="6:6" x14ac:dyDescent="0.3">
      <c r="F318" s="39"/>
    </row>
    <row r="319" spans="6:6" x14ac:dyDescent="0.3">
      <c r="F319" s="39"/>
    </row>
    <row r="320" spans="6:6" x14ac:dyDescent="0.3">
      <c r="F320" s="39"/>
    </row>
    <row r="321" spans="6:6" x14ac:dyDescent="0.3">
      <c r="F321" s="39"/>
    </row>
    <row r="322" spans="6:6" x14ac:dyDescent="0.3">
      <c r="F322" s="39"/>
    </row>
    <row r="323" spans="6:6" x14ac:dyDescent="0.3">
      <c r="F323" s="39"/>
    </row>
    <row r="324" spans="6:6" x14ac:dyDescent="0.3">
      <c r="F324" s="39"/>
    </row>
    <row r="325" spans="6:6" x14ac:dyDescent="0.3">
      <c r="F325" s="39"/>
    </row>
    <row r="326" spans="6:6" x14ac:dyDescent="0.3">
      <c r="F326" s="39"/>
    </row>
    <row r="327" spans="6:6" x14ac:dyDescent="0.3">
      <c r="F327" s="39"/>
    </row>
    <row r="328" spans="6:6" x14ac:dyDescent="0.3">
      <c r="F328" s="39"/>
    </row>
    <row r="329" spans="6:6" x14ac:dyDescent="0.3">
      <c r="F329" s="39"/>
    </row>
    <row r="330" spans="6:6" x14ac:dyDescent="0.3">
      <c r="F330" s="39"/>
    </row>
    <row r="331" spans="6:6" x14ac:dyDescent="0.3">
      <c r="F331" s="39"/>
    </row>
    <row r="332" spans="6:6" x14ac:dyDescent="0.3">
      <c r="F332" s="39"/>
    </row>
    <row r="333" spans="6:6" x14ac:dyDescent="0.3">
      <c r="F333" s="39"/>
    </row>
    <row r="334" spans="6:6" x14ac:dyDescent="0.3">
      <c r="F334" s="39"/>
    </row>
    <row r="335" spans="6:6" x14ac:dyDescent="0.3">
      <c r="F335" s="39"/>
    </row>
    <row r="336" spans="6:6" x14ac:dyDescent="0.3">
      <c r="F336" s="39"/>
    </row>
    <row r="337" spans="6:6" x14ac:dyDescent="0.3">
      <c r="F337" s="39"/>
    </row>
    <row r="338" spans="6:6" x14ac:dyDescent="0.3">
      <c r="F338" s="39"/>
    </row>
    <row r="339" spans="6:6" x14ac:dyDescent="0.3">
      <c r="F339" s="39"/>
    </row>
    <row r="340" spans="6:6" x14ac:dyDescent="0.3">
      <c r="F340" s="39"/>
    </row>
    <row r="341" spans="6:6" x14ac:dyDescent="0.3">
      <c r="F341" s="39"/>
    </row>
    <row r="342" spans="6:6" x14ac:dyDescent="0.3">
      <c r="F342" s="39"/>
    </row>
    <row r="343" spans="6:6" x14ac:dyDescent="0.3">
      <c r="F343" s="39"/>
    </row>
    <row r="344" spans="6:6" x14ac:dyDescent="0.3">
      <c r="F344" s="39"/>
    </row>
    <row r="345" spans="6:6" x14ac:dyDescent="0.3">
      <c r="F345" s="39"/>
    </row>
    <row r="346" spans="6:6" x14ac:dyDescent="0.3">
      <c r="F346" s="39"/>
    </row>
    <row r="347" spans="6:6" x14ac:dyDescent="0.3">
      <c r="F347" s="39"/>
    </row>
    <row r="348" spans="6:6" x14ac:dyDescent="0.3">
      <c r="F348" s="39"/>
    </row>
    <row r="349" spans="6:6" x14ac:dyDescent="0.3">
      <c r="F349" s="39"/>
    </row>
    <row r="350" spans="6:6" x14ac:dyDescent="0.3">
      <c r="F350" s="39"/>
    </row>
    <row r="351" spans="6:6" x14ac:dyDescent="0.3">
      <c r="F351" s="39"/>
    </row>
    <row r="352" spans="6:6" x14ac:dyDescent="0.3">
      <c r="F352" s="39"/>
    </row>
    <row r="353" spans="6:6" x14ac:dyDescent="0.3">
      <c r="F353" s="39"/>
    </row>
    <row r="354" spans="6:6" x14ac:dyDescent="0.3">
      <c r="F354" s="39"/>
    </row>
    <row r="355" spans="6:6" x14ac:dyDescent="0.3">
      <c r="F355" s="39"/>
    </row>
    <row r="356" spans="6:6" x14ac:dyDescent="0.3">
      <c r="F356" s="39"/>
    </row>
    <row r="357" spans="6:6" x14ac:dyDescent="0.3">
      <c r="F357" s="39"/>
    </row>
    <row r="358" spans="6:6" x14ac:dyDescent="0.3">
      <c r="F358" s="39"/>
    </row>
    <row r="359" spans="6:6" x14ac:dyDescent="0.3">
      <c r="F359" s="39"/>
    </row>
    <row r="360" spans="6:6" x14ac:dyDescent="0.3">
      <c r="F360" s="39"/>
    </row>
    <row r="361" spans="6:6" x14ac:dyDescent="0.3">
      <c r="F361" s="39"/>
    </row>
    <row r="362" spans="6:6" x14ac:dyDescent="0.3">
      <c r="F362" s="39"/>
    </row>
    <row r="363" spans="6:6" x14ac:dyDescent="0.3">
      <c r="F363" s="39"/>
    </row>
    <row r="364" spans="6:6" x14ac:dyDescent="0.3">
      <c r="F364" s="39"/>
    </row>
    <row r="365" spans="6:6" x14ac:dyDescent="0.3">
      <c r="F365" s="39"/>
    </row>
    <row r="366" spans="6:6" x14ac:dyDescent="0.3">
      <c r="F366" s="39"/>
    </row>
    <row r="367" spans="6:6" x14ac:dyDescent="0.3">
      <c r="F367" s="39"/>
    </row>
    <row r="368" spans="6:6" x14ac:dyDescent="0.3">
      <c r="F368" s="39"/>
    </row>
    <row r="369" spans="6:6" x14ac:dyDescent="0.3">
      <c r="F369" s="39"/>
    </row>
    <row r="370" spans="6:6" x14ac:dyDescent="0.3">
      <c r="F370" s="39"/>
    </row>
    <row r="371" spans="6:6" x14ac:dyDescent="0.3">
      <c r="F371" s="39"/>
    </row>
    <row r="372" spans="6:6" x14ac:dyDescent="0.3">
      <c r="F372" s="39"/>
    </row>
    <row r="373" spans="6:6" x14ac:dyDescent="0.3">
      <c r="F373" s="39"/>
    </row>
    <row r="374" spans="6:6" x14ac:dyDescent="0.3">
      <c r="F374" s="39"/>
    </row>
    <row r="375" spans="6:6" x14ac:dyDescent="0.3">
      <c r="F375" s="39"/>
    </row>
    <row r="376" spans="6:6" x14ac:dyDescent="0.3">
      <c r="F376" s="39"/>
    </row>
    <row r="377" spans="6:6" x14ac:dyDescent="0.3">
      <c r="F377" s="39"/>
    </row>
    <row r="378" spans="6:6" x14ac:dyDescent="0.3">
      <c r="F378" s="39"/>
    </row>
    <row r="379" spans="6:6" x14ac:dyDescent="0.3">
      <c r="F379" s="39"/>
    </row>
    <row r="380" spans="6:6" x14ac:dyDescent="0.3">
      <c r="F380" s="39"/>
    </row>
    <row r="381" spans="6:6" x14ac:dyDescent="0.3">
      <c r="F381" s="39"/>
    </row>
    <row r="382" spans="6:6" x14ac:dyDescent="0.3">
      <c r="F382" s="39"/>
    </row>
    <row r="383" spans="6:6" x14ac:dyDescent="0.3">
      <c r="F383" s="39"/>
    </row>
    <row r="384" spans="6:6" x14ac:dyDescent="0.3">
      <c r="F384" s="39"/>
    </row>
    <row r="385" spans="6:6" x14ac:dyDescent="0.3">
      <c r="F385" s="39"/>
    </row>
    <row r="386" spans="6:6" x14ac:dyDescent="0.3">
      <c r="F386" s="39"/>
    </row>
    <row r="387" spans="6:6" x14ac:dyDescent="0.3">
      <c r="F387" s="39"/>
    </row>
    <row r="388" spans="6:6" x14ac:dyDescent="0.3">
      <c r="F388" s="39"/>
    </row>
    <row r="389" spans="6:6" x14ac:dyDescent="0.3">
      <c r="F389" s="39"/>
    </row>
    <row r="390" spans="6:6" x14ac:dyDescent="0.3">
      <c r="F390" s="39"/>
    </row>
    <row r="391" spans="6:6" x14ac:dyDescent="0.3">
      <c r="F391" s="39"/>
    </row>
    <row r="392" spans="6:6" x14ac:dyDescent="0.3">
      <c r="F392" s="39"/>
    </row>
    <row r="393" spans="6:6" x14ac:dyDescent="0.3">
      <c r="F393" s="39"/>
    </row>
    <row r="394" spans="6:6" x14ac:dyDescent="0.3">
      <c r="F394" s="39"/>
    </row>
    <row r="395" spans="6:6" x14ac:dyDescent="0.3">
      <c r="F395" s="39"/>
    </row>
    <row r="396" spans="6:6" x14ac:dyDescent="0.3">
      <c r="F396" s="39"/>
    </row>
    <row r="397" spans="6:6" x14ac:dyDescent="0.3">
      <c r="F397" s="39"/>
    </row>
    <row r="398" spans="6:6" x14ac:dyDescent="0.3">
      <c r="F398" s="39"/>
    </row>
    <row r="399" spans="6:6" x14ac:dyDescent="0.3">
      <c r="F399" s="39"/>
    </row>
    <row r="400" spans="6:6" x14ac:dyDescent="0.3">
      <c r="F400" s="39"/>
    </row>
    <row r="401" spans="6:6" x14ac:dyDescent="0.3">
      <c r="F401" s="39"/>
    </row>
    <row r="402" spans="6:6" x14ac:dyDescent="0.3">
      <c r="F402" s="39"/>
    </row>
    <row r="403" spans="6:6" x14ac:dyDescent="0.3">
      <c r="F403" s="39"/>
    </row>
    <row r="404" spans="6:6" x14ac:dyDescent="0.3">
      <c r="F404" s="39"/>
    </row>
    <row r="405" spans="6:6" x14ac:dyDescent="0.3">
      <c r="F405" s="39"/>
    </row>
    <row r="406" spans="6:6" x14ac:dyDescent="0.3">
      <c r="F406" s="39"/>
    </row>
    <row r="407" spans="6:6" x14ac:dyDescent="0.3">
      <c r="F407" s="39"/>
    </row>
    <row r="408" spans="6:6" x14ac:dyDescent="0.3">
      <c r="F408" s="39"/>
    </row>
    <row r="409" spans="6:6" x14ac:dyDescent="0.3">
      <c r="F409" s="39"/>
    </row>
    <row r="410" spans="6:6" x14ac:dyDescent="0.3">
      <c r="F410" s="39"/>
    </row>
    <row r="411" spans="6:6" x14ac:dyDescent="0.3">
      <c r="F411" s="39"/>
    </row>
    <row r="412" spans="6:6" x14ac:dyDescent="0.3">
      <c r="F412" s="39"/>
    </row>
    <row r="413" spans="6:6" x14ac:dyDescent="0.3">
      <c r="F413" s="39"/>
    </row>
    <row r="414" spans="6:6" x14ac:dyDescent="0.3">
      <c r="F414" s="39"/>
    </row>
    <row r="415" spans="6:6" x14ac:dyDescent="0.3">
      <c r="F415" s="39"/>
    </row>
    <row r="416" spans="6:6" x14ac:dyDescent="0.3">
      <c r="F416" s="39"/>
    </row>
    <row r="417" spans="6:6" x14ac:dyDescent="0.3">
      <c r="F417" s="39"/>
    </row>
    <row r="418" spans="6:6" x14ac:dyDescent="0.3">
      <c r="F418" s="39"/>
    </row>
    <row r="419" spans="6:6" x14ac:dyDescent="0.3">
      <c r="F419" s="39"/>
    </row>
    <row r="420" spans="6:6" x14ac:dyDescent="0.3">
      <c r="F420" s="39"/>
    </row>
    <row r="421" spans="6:6" x14ac:dyDescent="0.3">
      <c r="F421" s="39"/>
    </row>
    <row r="422" spans="6:6" x14ac:dyDescent="0.3">
      <c r="F422" s="39"/>
    </row>
    <row r="423" spans="6:6" x14ac:dyDescent="0.3">
      <c r="F423" s="39"/>
    </row>
    <row r="424" spans="6:6" x14ac:dyDescent="0.3">
      <c r="F424" s="39"/>
    </row>
    <row r="425" spans="6:6" x14ac:dyDescent="0.3">
      <c r="F425" s="39"/>
    </row>
    <row r="426" spans="6:6" x14ac:dyDescent="0.3">
      <c r="F426" s="39"/>
    </row>
    <row r="427" spans="6:6" x14ac:dyDescent="0.3">
      <c r="F427" s="39"/>
    </row>
    <row r="428" spans="6:6" x14ac:dyDescent="0.3">
      <c r="F428" s="39"/>
    </row>
    <row r="429" spans="6:6" x14ac:dyDescent="0.3">
      <c r="F429" s="39"/>
    </row>
    <row r="430" spans="6:6" x14ac:dyDescent="0.3">
      <c r="F430" s="39"/>
    </row>
    <row r="431" spans="6:6" x14ac:dyDescent="0.3">
      <c r="F431" s="39"/>
    </row>
    <row r="432" spans="6:6" x14ac:dyDescent="0.3">
      <c r="F432" s="39"/>
    </row>
    <row r="433" spans="6:6" x14ac:dyDescent="0.3">
      <c r="F433" s="39"/>
    </row>
    <row r="434" spans="6:6" x14ac:dyDescent="0.3">
      <c r="F434" s="39"/>
    </row>
    <row r="435" spans="6:6" x14ac:dyDescent="0.3">
      <c r="F435" s="39"/>
    </row>
    <row r="436" spans="6:6" x14ac:dyDescent="0.3">
      <c r="F436" s="39"/>
    </row>
    <row r="437" spans="6:6" x14ac:dyDescent="0.3">
      <c r="F437" s="39"/>
    </row>
    <row r="438" spans="6:6" x14ac:dyDescent="0.3">
      <c r="F438" s="39"/>
    </row>
    <row r="439" spans="6:6" x14ac:dyDescent="0.3">
      <c r="F439" s="39"/>
    </row>
    <row r="440" spans="6:6" x14ac:dyDescent="0.3">
      <c r="F440" s="39"/>
    </row>
    <row r="441" spans="6:6" x14ac:dyDescent="0.3">
      <c r="F441" s="39"/>
    </row>
    <row r="442" spans="6:6" x14ac:dyDescent="0.3">
      <c r="F442" s="39"/>
    </row>
    <row r="443" spans="6:6" x14ac:dyDescent="0.3">
      <c r="F443" s="39"/>
    </row>
    <row r="444" spans="6:6" x14ac:dyDescent="0.3">
      <c r="F444" s="39"/>
    </row>
    <row r="445" spans="6:6" x14ac:dyDescent="0.3">
      <c r="F445" s="39"/>
    </row>
    <row r="446" spans="6:6" x14ac:dyDescent="0.3">
      <c r="F446" s="39"/>
    </row>
    <row r="447" spans="6:6" x14ac:dyDescent="0.3">
      <c r="F447" s="39"/>
    </row>
    <row r="448" spans="6:6" x14ac:dyDescent="0.3">
      <c r="F448" s="39"/>
    </row>
    <row r="449" spans="6:6" x14ac:dyDescent="0.3">
      <c r="F449" s="39"/>
    </row>
    <row r="450" spans="6:6" x14ac:dyDescent="0.3">
      <c r="F450" s="39"/>
    </row>
    <row r="451" spans="6:6" x14ac:dyDescent="0.3">
      <c r="F451" s="39"/>
    </row>
    <row r="452" spans="6:6" x14ac:dyDescent="0.3">
      <c r="F452" s="39"/>
    </row>
    <row r="453" spans="6:6" x14ac:dyDescent="0.3">
      <c r="F453" s="39"/>
    </row>
    <row r="454" spans="6:6" x14ac:dyDescent="0.3">
      <c r="F454" s="39"/>
    </row>
    <row r="455" spans="6:6" x14ac:dyDescent="0.3">
      <c r="F455" s="39"/>
    </row>
    <row r="456" spans="6:6" x14ac:dyDescent="0.3">
      <c r="F456" s="39"/>
    </row>
    <row r="457" spans="6:6" x14ac:dyDescent="0.3">
      <c r="F457" s="39"/>
    </row>
    <row r="458" spans="6:6" x14ac:dyDescent="0.3">
      <c r="F458" s="39"/>
    </row>
    <row r="459" spans="6:6" x14ac:dyDescent="0.3">
      <c r="F459" s="39"/>
    </row>
    <row r="460" spans="6:6" x14ac:dyDescent="0.3">
      <c r="F460" s="39"/>
    </row>
    <row r="461" spans="6:6" x14ac:dyDescent="0.3">
      <c r="F461" s="39"/>
    </row>
    <row r="462" spans="6:6" x14ac:dyDescent="0.3">
      <c r="F462" s="39"/>
    </row>
    <row r="463" spans="6:6" x14ac:dyDescent="0.3">
      <c r="F463" s="39"/>
    </row>
    <row r="464" spans="6:6" x14ac:dyDescent="0.3">
      <c r="F464" s="39"/>
    </row>
    <row r="465" spans="6:6" x14ac:dyDescent="0.3">
      <c r="F465" s="39"/>
    </row>
    <row r="466" spans="6:6" x14ac:dyDescent="0.3">
      <c r="F466" s="39"/>
    </row>
    <row r="467" spans="6:6" x14ac:dyDescent="0.3">
      <c r="F467" s="39"/>
    </row>
    <row r="468" spans="6:6" x14ac:dyDescent="0.3">
      <c r="F468" s="39"/>
    </row>
    <row r="469" spans="6:6" x14ac:dyDescent="0.3">
      <c r="F469" s="39"/>
    </row>
    <row r="470" spans="6:6" x14ac:dyDescent="0.3">
      <c r="F470" s="39"/>
    </row>
    <row r="471" spans="6:6" x14ac:dyDescent="0.3">
      <c r="F471" s="39"/>
    </row>
    <row r="472" spans="6:6" x14ac:dyDescent="0.3">
      <c r="F472" s="39"/>
    </row>
    <row r="473" spans="6:6" x14ac:dyDescent="0.3">
      <c r="F473" s="39"/>
    </row>
    <row r="474" spans="6:6" x14ac:dyDescent="0.3">
      <c r="F474" s="39"/>
    </row>
    <row r="475" spans="6:6" x14ac:dyDescent="0.3">
      <c r="F475" s="39"/>
    </row>
    <row r="476" spans="6:6" x14ac:dyDescent="0.3">
      <c r="F476" s="39"/>
    </row>
    <row r="477" spans="6:6" x14ac:dyDescent="0.3">
      <c r="F477" s="39"/>
    </row>
    <row r="478" spans="6:6" x14ac:dyDescent="0.3">
      <c r="F478" s="39"/>
    </row>
    <row r="479" spans="6:6" x14ac:dyDescent="0.3">
      <c r="F479" s="39"/>
    </row>
    <row r="480" spans="6:6" x14ac:dyDescent="0.3">
      <c r="F480" s="39"/>
    </row>
    <row r="481" spans="6:6" x14ac:dyDescent="0.3">
      <c r="F481" s="39"/>
    </row>
    <row r="482" spans="6:6" x14ac:dyDescent="0.3">
      <c r="F482" s="39"/>
    </row>
    <row r="483" spans="6:6" x14ac:dyDescent="0.3">
      <c r="F483" s="39"/>
    </row>
    <row r="484" spans="6:6" x14ac:dyDescent="0.3">
      <c r="F484" s="39"/>
    </row>
    <row r="485" spans="6:6" x14ac:dyDescent="0.3">
      <c r="F485" s="39"/>
    </row>
    <row r="486" spans="6:6" x14ac:dyDescent="0.3">
      <c r="F486" s="39"/>
    </row>
    <row r="487" spans="6:6" x14ac:dyDescent="0.3">
      <c r="F487" s="39"/>
    </row>
    <row r="488" spans="6:6" x14ac:dyDescent="0.3">
      <c r="F488" s="39"/>
    </row>
    <row r="489" spans="6:6" x14ac:dyDescent="0.3">
      <c r="F489" s="39"/>
    </row>
    <row r="490" spans="6:6" x14ac:dyDescent="0.3">
      <c r="F490" s="39"/>
    </row>
    <row r="491" spans="6:6" x14ac:dyDescent="0.3">
      <c r="F491" s="39"/>
    </row>
    <row r="492" spans="6:6" x14ac:dyDescent="0.3">
      <c r="F492" s="39"/>
    </row>
    <row r="493" spans="6:6" x14ac:dyDescent="0.3">
      <c r="F493" s="39"/>
    </row>
    <row r="494" spans="6:6" x14ac:dyDescent="0.3">
      <c r="F494" s="39"/>
    </row>
    <row r="495" spans="6:6" x14ac:dyDescent="0.3">
      <c r="F495" s="39"/>
    </row>
    <row r="496" spans="6:6" x14ac:dyDescent="0.3">
      <c r="F496" s="39"/>
    </row>
    <row r="497" spans="6:6" x14ac:dyDescent="0.3">
      <c r="F497" s="39"/>
    </row>
    <row r="498" spans="6:6" x14ac:dyDescent="0.3">
      <c r="F498" s="39"/>
    </row>
    <row r="499" spans="6:6" x14ac:dyDescent="0.3">
      <c r="F499" s="39"/>
    </row>
    <row r="500" spans="6:6" x14ac:dyDescent="0.3">
      <c r="F500" s="39"/>
    </row>
    <row r="501" spans="6:6" x14ac:dyDescent="0.3">
      <c r="F501" s="39"/>
    </row>
    <row r="502" spans="6:6" x14ac:dyDescent="0.3">
      <c r="F502" s="39"/>
    </row>
    <row r="503" spans="6:6" x14ac:dyDescent="0.3">
      <c r="F503" s="39"/>
    </row>
    <row r="504" spans="6:6" x14ac:dyDescent="0.3">
      <c r="F504" s="39"/>
    </row>
    <row r="505" spans="6:6" x14ac:dyDescent="0.3">
      <c r="F505" s="39"/>
    </row>
    <row r="506" spans="6:6" x14ac:dyDescent="0.3">
      <c r="F506" s="39"/>
    </row>
    <row r="507" spans="6:6" x14ac:dyDescent="0.3">
      <c r="F507" s="39"/>
    </row>
    <row r="508" spans="6:6" x14ac:dyDescent="0.3">
      <c r="F508" s="39"/>
    </row>
    <row r="509" spans="6:6" x14ac:dyDescent="0.3">
      <c r="F509" s="39"/>
    </row>
    <row r="510" spans="6:6" x14ac:dyDescent="0.3">
      <c r="F510" s="39"/>
    </row>
    <row r="511" spans="6:6" x14ac:dyDescent="0.3">
      <c r="F511" s="39"/>
    </row>
    <row r="512" spans="6:6" x14ac:dyDescent="0.3">
      <c r="F512" s="39"/>
    </row>
    <row r="513" spans="6:6" x14ac:dyDescent="0.3">
      <c r="F513" s="39"/>
    </row>
    <row r="514" spans="6:6" x14ac:dyDescent="0.3">
      <c r="F514" s="39"/>
    </row>
    <row r="515" spans="6:6" x14ac:dyDescent="0.3">
      <c r="F515" s="39"/>
    </row>
    <row r="516" spans="6:6" x14ac:dyDescent="0.3">
      <c r="F516" s="39"/>
    </row>
    <row r="517" spans="6:6" x14ac:dyDescent="0.3">
      <c r="F517" s="39"/>
    </row>
    <row r="518" spans="6:6" x14ac:dyDescent="0.3">
      <c r="F518" s="39"/>
    </row>
    <row r="519" spans="6:6" x14ac:dyDescent="0.3">
      <c r="F519" s="39"/>
    </row>
    <row r="520" spans="6:6" x14ac:dyDescent="0.3">
      <c r="F520" s="39"/>
    </row>
    <row r="521" spans="6:6" x14ac:dyDescent="0.3">
      <c r="F521" s="39"/>
    </row>
    <row r="522" spans="6:6" x14ac:dyDescent="0.3">
      <c r="F522" s="39"/>
    </row>
    <row r="523" spans="6:6" x14ac:dyDescent="0.3">
      <c r="F523" s="39"/>
    </row>
    <row r="524" spans="6:6" x14ac:dyDescent="0.3">
      <c r="F524" s="39"/>
    </row>
    <row r="525" spans="6:6" x14ac:dyDescent="0.3">
      <c r="F525" s="39"/>
    </row>
    <row r="526" spans="6:6" x14ac:dyDescent="0.3">
      <c r="F526" s="39"/>
    </row>
    <row r="527" spans="6:6" x14ac:dyDescent="0.3">
      <c r="F527" s="39"/>
    </row>
    <row r="528" spans="6:6" x14ac:dyDescent="0.3">
      <c r="F528" s="39"/>
    </row>
    <row r="529" spans="6:6" x14ac:dyDescent="0.3">
      <c r="F529" s="39"/>
    </row>
    <row r="530" spans="6:6" x14ac:dyDescent="0.3">
      <c r="F530" s="39"/>
    </row>
    <row r="531" spans="6:6" x14ac:dyDescent="0.3">
      <c r="F531" s="39"/>
    </row>
    <row r="532" spans="6:6" x14ac:dyDescent="0.3">
      <c r="F532" s="39"/>
    </row>
    <row r="533" spans="6:6" x14ac:dyDescent="0.3">
      <c r="F533" s="39"/>
    </row>
    <row r="534" spans="6:6" x14ac:dyDescent="0.3">
      <c r="F534" s="39"/>
    </row>
    <row r="535" spans="6:6" x14ac:dyDescent="0.3">
      <c r="F535" s="39"/>
    </row>
    <row r="536" spans="6:6" x14ac:dyDescent="0.3">
      <c r="F536" s="39"/>
    </row>
    <row r="537" spans="6:6" x14ac:dyDescent="0.3">
      <c r="F537" s="39"/>
    </row>
    <row r="538" spans="6:6" x14ac:dyDescent="0.3">
      <c r="F538" s="39"/>
    </row>
    <row r="539" spans="6:6" x14ac:dyDescent="0.3">
      <c r="F539" s="39"/>
    </row>
    <row r="540" spans="6:6" x14ac:dyDescent="0.3">
      <c r="F540" s="39"/>
    </row>
    <row r="541" spans="6:6" x14ac:dyDescent="0.3">
      <c r="F541" s="39"/>
    </row>
    <row r="542" spans="6:6" x14ac:dyDescent="0.3">
      <c r="F542" s="39"/>
    </row>
    <row r="543" spans="6:6" x14ac:dyDescent="0.3">
      <c r="F543" s="39"/>
    </row>
    <row r="544" spans="6:6" x14ac:dyDescent="0.3">
      <c r="F544" s="39"/>
    </row>
    <row r="545" spans="6:6" x14ac:dyDescent="0.3">
      <c r="F545" s="39"/>
    </row>
    <row r="546" spans="6:6" x14ac:dyDescent="0.3">
      <c r="F546" s="39"/>
    </row>
    <row r="547" spans="6:6" x14ac:dyDescent="0.3">
      <c r="F547" s="39"/>
    </row>
    <row r="548" spans="6:6" x14ac:dyDescent="0.3">
      <c r="F548" s="39"/>
    </row>
    <row r="549" spans="6:6" x14ac:dyDescent="0.3">
      <c r="F549" s="39"/>
    </row>
    <row r="550" spans="6:6" x14ac:dyDescent="0.3">
      <c r="F550" s="39"/>
    </row>
    <row r="551" spans="6:6" x14ac:dyDescent="0.3">
      <c r="F551" s="39"/>
    </row>
    <row r="552" spans="6:6" x14ac:dyDescent="0.3">
      <c r="F552" s="39"/>
    </row>
    <row r="553" spans="6:6" x14ac:dyDescent="0.3">
      <c r="F553" s="39"/>
    </row>
    <row r="554" spans="6:6" x14ac:dyDescent="0.3">
      <c r="F554" s="39"/>
    </row>
    <row r="555" spans="6:6" x14ac:dyDescent="0.3">
      <c r="F555" s="39"/>
    </row>
    <row r="556" spans="6:6" x14ac:dyDescent="0.3">
      <c r="F556" s="39"/>
    </row>
    <row r="557" spans="6:6" x14ac:dyDescent="0.3">
      <c r="F557" s="39"/>
    </row>
    <row r="558" spans="6:6" x14ac:dyDescent="0.3">
      <c r="F558" s="39"/>
    </row>
    <row r="559" spans="6:6" x14ac:dyDescent="0.3">
      <c r="F559" s="39"/>
    </row>
    <row r="560" spans="6:6" x14ac:dyDescent="0.3">
      <c r="F560" s="39"/>
    </row>
    <row r="561" spans="6:6" x14ac:dyDescent="0.3">
      <c r="F561" s="39"/>
    </row>
    <row r="562" spans="6:6" x14ac:dyDescent="0.3">
      <c r="F562" s="39"/>
    </row>
    <row r="563" spans="6:6" x14ac:dyDescent="0.3">
      <c r="F563" s="39"/>
    </row>
    <row r="564" spans="6:6" x14ac:dyDescent="0.3">
      <c r="F564" s="39"/>
    </row>
    <row r="565" spans="6:6" x14ac:dyDescent="0.3">
      <c r="F565" s="39"/>
    </row>
    <row r="566" spans="6:6" x14ac:dyDescent="0.3">
      <c r="F566" s="39"/>
    </row>
    <row r="567" spans="6:6" x14ac:dyDescent="0.3">
      <c r="F567" s="39"/>
    </row>
    <row r="568" spans="6:6" x14ac:dyDescent="0.3">
      <c r="F568" s="39"/>
    </row>
    <row r="569" spans="6:6" x14ac:dyDescent="0.3">
      <c r="F569" s="39"/>
    </row>
    <row r="570" spans="6:6" x14ac:dyDescent="0.3">
      <c r="F570" s="39"/>
    </row>
    <row r="571" spans="6:6" x14ac:dyDescent="0.3">
      <c r="F571" s="39"/>
    </row>
    <row r="572" spans="6:6" x14ac:dyDescent="0.3">
      <c r="F572" s="39"/>
    </row>
    <row r="573" spans="6:6" x14ac:dyDescent="0.3">
      <c r="F573" s="39"/>
    </row>
    <row r="574" spans="6:6" x14ac:dyDescent="0.3">
      <c r="F574" s="39"/>
    </row>
    <row r="575" spans="6:6" x14ac:dyDescent="0.3">
      <c r="F575" s="39"/>
    </row>
    <row r="576" spans="6:6" x14ac:dyDescent="0.3">
      <c r="F576" s="39"/>
    </row>
    <row r="577" spans="6:6" x14ac:dyDescent="0.3">
      <c r="F577" s="39"/>
    </row>
    <row r="578" spans="6:6" x14ac:dyDescent="0.3">
      <c r="F578" s="39"/>
    </row>
    <row r="579" spans="6:6" x14ac:dyDescent="0.3">
      <c r="F579" s="39"/>
    </row>
    <row r="580" spans="6:6" x14ac:dyDescent="0.3">
      <c r="F580" s="39"/>
    </row>
    <row r="581" spans="6:6" x14ac:dyDescent="0.3">
      <c r="F581" s="39"/>
    </row>
    <row r="582" spans="6:6" x14ac:dyDescent="0.3">
      <c r="F582" s="39"/>
    </row>
    <row r="583" spans="6:6" x14ac:dyDescent="0.3">
      <c r="F583" s="39"/>
    </row>
    <row r="584" spans="6:6" x14ac:dyDescent="0.3">
      <c r="F584" s="39"/>
    </row>
    <row r="585" spans="6:6" x14ac:dyDescent="0.3">
      <c r="F585" s="39"/>
    </row>
    <row r="586" spans="6:6" x14ac:dyDescent="0.3">
      <c r="F586" s="39"/>
    </row>
    <row r="587" spans="6:6" x14ac:dyDescent="0.3">
      <c r="F587" s="39"/>
    </row>
    <row r="588" spans="6:6" x14ac:dyDescent="0.3">
      <c r="F588" s="39"/>
    </row>
    <row r="589" spans="6:6" x14ac:dyDescent="0.3">
      <c r="F589" s="39"/>
    </row>
    <row r="590" spans="6:6" x14ac:dyDescent="0.3">
      <c r="F590" s="39"/>
    </row>
    <row r="591" spans="6:6" x14ac:dyDescent="0.3">
      <c r="F591" s="39"/>
    </row>
    <row r="592" spans="6:6" x14ac:dyDescent="0.3">
      <c r="F592" s="39"/>
    </row>
    <row r="593" spans="6:6" x14ac:dyDescent="0.3">
      <c r="F593" s="39"/>
    </row>
    <row r="594" spans="6:6" x14ac:dyDescent="0.3">
      <c r="F594" s="39"/>
    </row>
    <row r="595" spans="6:6" x14ac:dyDescent="0.3">
      <c r="F595" s="39"/>
    </row>
    <row r="596" spans="6:6" x14ac:dyDescent="0.3">
      <c r="F596" s="39"/>
    </row>
    <row r="597" spans="6:6" x14ac:dyDescent="0.3">
      <c r="F597" s="39"/>
    </row>
    <row r="598" spans="6:6" x14ac:dyDescent="0.3">
      <c r="F598" s="39"/>
    </row>
    <row r="599" spans="6:6" x14ac:dyDescent="0.3">
      <c r="F599" s="39"/>
    </row>
    <row r="600" spans="6:6" x14ac:dyDescent="0.3">
      <c r="F600" s="39"/>
    </row>
    <row r="601" spans="6:6" x14ac:dyDescent="0.3">
      <c r="F601" s="39"/>
    </row>
    <row r="602" spans="6:6" x14ac:dyDescent="0.3">
      <c r="F602" s="39"/>
    </row>
    <row r="603" spans="6:6" x14ac:dyDescent="0.3">
      <c r="F603" s="39"/>
    </row>
    <row r="604" spans="6:6" x14ac:dyDescent="0.3">
      <c r="F604" s="39"/>
    </row>
    <row r="605" spans="6:6" x14ac:dyDescent="0.3">
      <c r="F605" s="39"/>
    </row>
    <row r="606" spans="6:6" x14ac:dyDescent="0.3">
      <c r="F606" s="39"/>
    </row>
    <row r="607" spans="6:6" x14ac:dyDescent="0.3">
      <c r="F607" s="39"/>
    </row>
    <row r="608" spans="6:6" x14ac:dyDescent="0.3">
      <c r="F608" s="39"/>
    </row>
    <row r="609" spans="6:6" x14ac:dyDescent="0.3">
      <c r="F609" s="39"/>
    </row>
    <row r="610" spans="6:6" x14ac:dyDescent="0.3">
      <c r="F610" s="39"/>
    </row>
    <row r="611" spans="6:6" x14ac:dyDescent="0.3">
      <c r="F611" s="39"/>
    </row>
    <row r="612" spans="6:6" x14ac:dyDescent="0.3">
      <c r="F612" s="39"/>
    </row>
    <row r="613" spans="6:6" x14ac:dyDescent="0.3">
      <c r="F613" s="39"/>
    </row>
    <row r="614" spans="6:6" x14ac:dyDescent="0.3">
      <c r="F614" s="39"/>
    </row>
    <row r="615" spans="6:6" x14ac:dyDescent="0.3">
      <c r="F615" s="39"/>
    </row>
    <row r="616" spans="6:6" x14ac:dyDescent="0.3">
      <c r="F616" s="39"/>
    </row>
    <row r="617" spans="6:6" x14ac:dyDescent="0.3">
      <c r="F617" s="39"/>
    </row>
    <row r="618" spans="6:6" x14ac:dyDescent="0.3">
      <c r="F618" s="39"/>
    </row>
    <row r="619" spans="6:6" x14ac:dyDescent="0.3">
      <c r="F619" s="39"/>
    </row>
    <row r="620" spans="6:6" x14ac:dyDescent="0.3">
      <c r="F620" s="39"/>
    </row>
    <row r="621" spans="6:6" x14ac:dyDescent="0.3">
      <c r="F621" s="39"/>
    </row>
    <row r="622" spans="6:6" x14ac:dyDescent="0.3">
      <c r="F622" s="39"/>
    </row>
    <row r="623" spans="6:6" x14ac:dyDescent="0.3">
      <c r="F623" s="39"/>
    </row>
    <row r="624" spans="6:6" x14ac:dyDescent="0.3">
      <c r="F624" s="39"/>
    </row>
    <row r="625" spans="6:6" x14ac:dyDescent="0.3">
      <c r="F625" s="39"/>
    </row>
    <row r="626" spans="6:6" x14ac:dyDescent="0.3">
      <c r="F626" s="39"/>
    </row>
    <row r="627" spans="6:6" x14ac:dyDescent="0.3">
      <c r="F627" s="39"/>
    </row>
    <row r="628" spans="6:6" x14ac:dyDescent="0.3">
      <c r="F628" s="39"/>
    </row>
    <row r="629" spans="6:6" x14ac:dyDescent="0.3">
      <c r="F629" s="39"/>
    </row>
    <row r="630" spans="6:6" x14ac:dyDescent="0.3">
      <c r="F630" s="39"/>
    </row>
    <row r="631" spans="6:6" x14ac:dyDescent="0.3">
      <c r="F631" s="39"/>
    </row>
    <row r="632" spans="6:6" x14ac:dyDescent="0.3">
      <c r="F632" s="39"/>
    </row>
    <row r="633" spans="6:6" x14ac:dyDescent="0.3">
      <c r="F633" s="39"/>
    </row>
    <row r="634" spans="6:6" x14ac:dyDescent="0.3">
      <c r="F634" s="39"/>
    </row>
    <row r="635" spans="6:6" x14ac:dyDescent="0.3">
      <c r="F635" s="39"/>
    </row>
    <row r="636" spans="6:6" x14ac:dyDescent="0.3">
      <c r="F636" s="39"/>
    </row>
    <row r="637" spans="6:6" x14ac:dyDescent="0.3">
      <c r="F637" s="39"/>
    </row>
    <row r="638" spans="6:6" x14ac:dyDescent="0.3">
      <c r="F638" s="39"/>
    </row>
    <row r="639" spans="6:6" x14ac:dyDescent="0.3">
      <c r="F639" s="39"/>
    </row>
    <row r="640" spans="6:6" x14ac:dyDescent="0.3">
      <c r="F640" s="39"/>
    </row>
    <row r="641" spans="6:6" x14ac:dyDescent="0.3">
      <c r="F641" s="39"/>
    </row>
    <row r="642" spans="6:6" x14ac:dyDescent="0.3">
      <c r="F642" s="39"/>
    </row>
    <row r="643" spans="6:6" x14ac:dyDescent="0.3">
      <c r="F643" s="39"/>
    </row>
    <row r="644" spans="6:6" x14ac:dyDescent="0.3">
      <c r="F644" s="39"/>
    </row>
    <row r="645" spans="6:6" x14ac:dyDescent="0.3">
      <c r="F645" s="39"/>
    </row>
    <row r="646" spans="6:6" x14ac:dyDescent="0.3">
      <c r="F646" s="39"/>
    </row>
    <row r="647" spans="6:6" x14ac:dyDescent="0.3">
      <c r="F647" s="39"/>
    </row>
    <row r="648" spans="6:6" x14ac:dyDescent="0.3">
      <c r="F648" s="39"/>
    </row>
    <row r="649" spans="6:6" x14ac:dyDescent="0.3">
      <c r="F649" s="39"/>
    </row>
    <row r="650" spans="6:6" x14ac:dyDescent="0.3">
      <c r="F650" s="39"/>
    </row>
    <row r="651" spans="6:6" x14ac:dyDescent="0.3">
      <c r="F651" s="39"/>
    </row>
    <row r="652" spans="6:6" x14ac:dyDescent="0.3">
      <c r="F652" s="39"/>
    </row>
    <row r="653" spans="6:6" x14ac:dyDescent="0.3">
      <c r="F653" s="39"/>
    </row>
    <row r="654" spans="6:6" x14ac:dyDescent="0.3">
      <c r="F654" s="39"/>
    </row>
    <row r="655" spans="6:6" x14ac:dyDescent="0.3">
      <c r="F655" s="39"/>
    </row>
    <row r="656" spans="6:6" x14ac:dyDescent="0.3">
      <c r="F656" s="39"/>
    </row>
    <row r="657" spans="6:6" x14ac:dyDescent="0.3">
      <c r="F657" s="39"/>
    </row>
    <row r="658" spans="6:6" x14ac:dyDescent="0.3">
      <c r="F658" s="39"/>
    </row>
    <row r="659" spans="6:6" x14ac:dyDescent="0.3">
      <c r="F659" s="39"/>
    </row>
    <row r="660" spans="6:6" x14ac:dyDescent="0.3">
      <c r="F660" s="39"/>
    </row>
    <row r="661" spans="6:6" x14ac:dyDescent="0.3">
      <c r="F661" s="39"/>
    </row>
    <row r="662" spans="6:6" x14ac:dyDescent="0.3">
      <c r="F662" s="39"/>
    </row>
    <row r="663" spans="6:6" x14ac:dyDescent="0.3">
      <c r="F663" s="39"/>
    </row>
    <row r="664" spans="6:6" x14ac:dyDescent="0.3">
      <c r="F664" s="39"/>
    </row>
    <row r="665" spans="6:6" x14ac:dyDescent="0.3">
      <c r="F665" s="39"/>
    </row>
    <row r="666" spans="6:6" x14ac:dyDescent="0.3">
      <c r="F666" s="39"/>
    </row>
    <row r="667" spans="6:6" x14ac:dyDescent="0.3">
      <c r="F667" s="39"/>
    </row>
    <row r="668" spans="6:6" x14ac:dyDescent="0.3">
      <c r="F668" s="39"/>
    </row>
    <row r="669" spans="6:6" x14ac:dyDescent="0.3">
      <c r="F669" s="39"/>
    </row>
    <row r="670" spans="6:6" x14ac:dyDescent="0.3">
      <c r="F670" s="39"/>
    </row>
    <row r="671" spans="6:6" x14ac:dyDescent="0.3">
      <c r="F671" s="39"/>
    </row>
    <row r="672" spans="6:6" x14ac:dyDescent="0.3">
      <c r="F672" s="39"/>
    </row>
    <row r="673" spans="6:6" x14ac:dyDescent="0.3">
      <c r="F673" s="39"/>
    </row>
    <row r="674" spans="6:6" x14ac:dyDescent="0.3">
      <c r="F674" s="39"/>
    </row>
    <row r="675" spans="6:6" x14ac:dyDescent="0.3">
      <c r="F675" s="39"/>
    </row>
    <row r="676" spans="6:6" x14ac:dyDescent="0.3">
      <c r="F676" s="39"/>
    </row>
    <row r="677" spans="6:6" x14ac:dyDescent="0.3">
      <c r="F677" s="39"/>
    </row>
    <row r="678" spans="6:6" x14ac:dyDescent="0.3">
      <c r="F678" s="39"/>
    </row>
    <row r="679" spans="6:6" x14ac:dyDescent="0.3">
      <c r="F679" s="39"/>
    </row>
    <row r="680" spans="6:6" x14ac:dyDescent="0.3">
      <c r="F680" s="39"/>
    </row>
    <row r="681" spans="6:6" x14ac:dyDescent="0.3">
      <c r="F681" s="39"/>
    </row>
    <row r="682" spans="6:6" x14ac:dyDescent="0.3">
      <c r="F682" s="39"/>
    </row>
    <row r="683" spans="6:6" x14ac:dyDescent="0.3">
      <c r="F683" s="39"/>
    </row>
    <row r="684" spans="6:6" x14ac:dyDescent="0.3">
      <c r="F684" s="39"/>
    </row>
    <row r="685" spans="6:6" x14ac:dyDescent="0.3">
      <c r="F685" s="39"/>
    </row>
    <row r="686" spans="6:6" x14ac:dyDescent="0.3">
      <c r="F686" s="39"/>
    </row>
    <row r="687" spans="6:6" x14ac:dyDescent="0.3">
      <c r="F687" s="39"/>
    </row>
    <row r="688" spans="6:6" x14ac:dyDescent="0.3">
      <c r="F688" s="39"/>
    </row>
    <row r="689" spans="6:6" x14ac:dyDescent="0.3">
      <c r="F689" s="39"/>
    </row>
    <row r="690" spans="6:6" x14ac:dyDescent="0.3">
      <c r="F690" s="39"/>
    </row>
    <row r="691" spans="6:6" x14ac:dyDescent="0.3">
      <c r="F691" s="39"/>
    </row>
    <row r="692" spans="6:6" x14ac:dyDescent="0.3">
      <c r="F692" s="39"/>
    </row>
    <row r="693" spans="6:6" x14ac:dyDescent="0.3">
      <c r="F693" s="39"/>
    </row>
    <row r="694" spans="6:6" x14ac:dyDescent="0.3">
      <c r="F694" s="39"/>
    </row>
    <row r="695" spans="6:6" x14ac:dyDescent="0.3">
      <c r="F695" s="39"/>
    </row>
    <row r="696" spans="6:6" x14ac:dyDescent="0.3">
      <c r="F696" s="39"/>
    </row>
    <row r="697" spans="6:6" x14ac:dyDescent="0.3">
      <c r="F697" s="39"/>
    </row>
    <row r="698" spans="6:6" x14ac:dyDescent="0.3">
      <c r="F698" s="39"/>
    </row>
    <row r="699" spans="6:6" x14ac:dyDescent="0.3">
      <c r="F699" s="39"/>
    </row>
    <row r="700" spans="6:6" x14ac:dyDescent="0.3">
      <c r="F700" s="39"/>
    </row>
    <row r="701" spans="6:6" x14ac:dyDescent="0.3">
      <c r="F701" s="39"/>
    </row>
    <row r="702" spans="6:6" x14ac:dyDescent="0.3">
      <c r="F702" s="39"/>
    </row>
    <row r="703" spans="6:6" x14ac:dyDescent="0.3">
      <c r="F703" s="39"/>
    </row>
    <row r="704" spans="6:6" x14ac:dyDescent="0.3">
      <c r="F704" s="39"/>
    </row>
    <row r="705" spans="6:6" x14ac:dyDescent="0.3">
      <c r="F705" s="39"/>
    </row>
    <row r="706" spans="6:6" x14ac:dyDescent="0.3">
      <c r="F706" s="39"/>
    </row>
    <row r="707" spans="6:6" x14ac:dyDescent="0.3">
      <c r="F707" s="39"/>
    </row>
    <row r="708" spans="6:6" x14ac:dyDescent="0.3">
      <c r="F708" s="39"/>
    </row>
    <row r="709" spans="6:6" x14ac:dyDescent="0.3">
      <c r="F709" s="39"/>
    </row>
    <row r="710" spans="6:6" x14ac:dyDescent="0.3">
      <c r="F710" s="39"/>
    </row>
    <row r="711" spans="6:6" x14ac:dyDescent="0.3">
      <c r="F711" s="39"/>
    </row>
    <row r="712" spans="6:6" x14ac:dyDescent="0.3">
      <c r="F712" s="39"/>
    </row>
    <row r="713" spans="6:6" x14ac:dyDescent="0.3">
      <c r="F713" s="39"/>
    </row>
    <row r="714" spans="6:6" x14ac:dyDescent="0.3">
      <c r="F714" s="39"/>
    </row>
    <row r="715" spans="6:6" x14ac:dyDescent="0.3">
      <c r="F715" s="39"/>
    </row>
    <row r="716" spans="6:6" x14ac:dyDescent="0.3">
      <c r="F716" s="39"/>
    </row>
    <row r="717" spans="6:6" x14ac:dyDescent="0.3">
      <c r="F717" s="39"/>
    </row>
    <row r="718" spans="6:6" x14ac:dyDescent="0.3">
      <c r="F718" s="39"/>
    </row>
    <row r="719" spans="6:6" x14ac:dyDescent="0.3">
      <c r="F719" s="39"/>
    </row>
    <row r="720" spans="6:6" x14ac:dyDescent="0.3">
      <c r="F720" s="39"/>
    </row>
    <row r="721" spans="6:6" x14ac:dyDescent="0.3">
      <c r="F721" s="39"/>
    </row>
    <row r="722" spans="6:6" x14ac:dyDescent="0.3">
      <c r="F722" s="39"/>
    </row>
    <row r="723" spans="6:6" x14ac:dyDescent="0.3">
      <c r="F723" s="39"/>
    </row>
    <row r="724" spans="6:6" x14ac:dyDescent="0.3">
      <c r="F724" s="39"/>
    </row>
    <row r="725" spans="6:6" x14ac:dyDescent="0.3">
      <c r="F725" s="39"/>
    </row>
    <row r="726" spans="6:6" x14ac:dyDescent="0.3">
      <c r="F726" s="39"/>
    </row>
    <row r="727" spans="6:6" x14ac:dyDescent="0.3">
      <c r="F727" s="39"/>
    </row>
    <row r="728" spans="6:6" x14ac:dyDescent="0.3">
      <c r="F728" s="39"/>
    </row>
    <row r="729" spans="6:6" x14ac:dyDescent="0.3">
      <c r="F729" s="39"/>
    </row>
    <row r="730" spans="6:6" x14ac:dyDescent="0.3">
      <c r="F730" s="39"/>
    </row>
    <row r="731" spans="6:6" x14ac:dyDescent="0.3">
      <c r="F731" s="39"/>
    </row>
    <row r="732" spans="6:6" x14ac:dyDescent="0.3">
      <c r="F732" s="39"/>
    </row>
    <row r="733" spans="6:6" x14ac:dyDescent="0.3">
      <c r="F733" s="39"/>
    </row>
    <row r="734" spans="6:6" x14ac:dyDescent="0.3">
      <c r="F734" s="39"/>
    </row>
    <row r="735" spans="6:6" x14ac:dyDescent="0.3">
      <c r="F735" s="39"/>
    </row>
    <row r="736" spans="6:6" x14ac:dyDescent="0.3">
      <c r="F736" s="39"/>
    </row>
    <row r="737" spans="6:6" x14ac:dyDescent="0.3">
      <c r="F737" s="39"/>
    </row>
    <row r="738" spans="6:6" x14ac:dyDescent="0.3">
      <c r="F738" s="39"/>
    </row>
    <row r="739" spans="6:6" x14ac:dyDescent="0.3">
      <c r="F739" s="39"/>
    </row>
    <row r="740" spans="6:6" x14ac:dyDescent="0.3">
      <c r="F740" s="39"/>
    </row>
    <row r="741" spans="6:6" x14ac:dyDescent="0.3">
      <c r="F741" s="39"/>
    </row>
    <row r="742" spans="6:6" x14ac:dyDescent="0.3">
      <c r="F742" s="39"/>
    </row>
    <row r="743" spans="6:6" x14ac:dyDescent="0.3">
      <c r="F743" s="39"/>
    </row>
    <row r="744" spans="6:6" x14ac:dyDescent="0.3">
      <c r="F744" s="39"/>
    </row>
    <row r="745" spans="6:6" x14ac:dyDescent="0.3">
      <c r="F745" s="39"/>
    </row>
    <row r="746" spans="6:6" x14ac:dyDescent="0.3">
      <c r="F746" s="39"/>
    </row>
    <row r="747" spans="6:6" x14ac:dyDescent="0.3">
      <c r="F747" s="39"/>
    </row>
    <row r="748" spans="6:6" x14ac:dyDescent="0.3">
      <c r="F748" s="39"/>
    </row>
    <row r="749" spans="6:6" x14ac:dyDescent="0.3">
      <c r="F749" s="39"/>
    </row>
    <row r="750" spans="6:6" x14ac:dyDescent="0.3">
      <c r="F750" s="39"/>
    </row>
    <row r="751" spans="6:6" x14ac:dyDescent="0.3">
      <c r="F751" s="39"/>
    </row>
    <row r="752" spans="6:6" x14ac:dyDescent="0.3">
      <c r="F752" s="39"/>
    </row>
    <row r="753" spans="6:6" x14ac:dyDescent="0.3">
      <c r="F753" s="39"/>
    </row>
    <row r="754" spans="6:6" x14ac:dyDescent="0.3">
      <c r="F754" s="39"/>
    </row>
    <row r="755" spans="6:6" x14ac:dyDescent="0.3">
      <c r="F755" s="39"/>
    </row>
    <row r="756" spans="6:6" x14ac:dyDescent="0.3">
      <c r="F756" s="39"/>
    </row>
    <row r="757" spans="6:6" x14ac:dyDescent="0.3">
      <c r="F757" s="39"/>
    </row>
    <row r="758" spans="6:6" x14ac:dyDescent="0.3">
      <c r="F758" s="39"/>
    </row>
    <row r="759" spans="6:6" x14ac:dyDescent="0.3">
      <c r="F759" s="39"/>
    </row>
    <row r="760" spans="6:6" x14ac:dyDescent="0.3">
      <c r="F760" s="39"/>
    </row>
    <row r="761" spans="6:6" x14ac:dyDescent="0.3">
      <c r="F761" s="39"/>
    </row>
    <row r="762" spans="6:6" x14ac:dyDescent="0.3">
      <c r="F762" s="39"/>
    </row>
    <row r="763" spans="6:6" x14ac:dyDescent="0.3">
      <c r="F763" s="39"/>
    </row>
    <row r="764" spans="6:6" x14ac:dyDescent="0.3">
      <c r="F764" s="39"/>
    </row>
    <row r="765" spans="6:6" x14ac:dyDescent="0.3">
      <c r="F765" s="39"/>
    </row>
    <row r="766" spans="6:6" x14ac:dyDescent="0.3">
      <c r="F766" s="39"/>
    </row>
    <row r="767" spans="6:6" x14ac:dyDescent="0.3">
      <c r="F767" s="39"/>
    </row>
    <row r="768" spans="6:6" x14ac:dyDescent="0.3">
      <c r="F768" s="39"/>
    </row>
    <row r="769" spans="6:6" x14ac:dyDescent="0.3">
      <c r="F769" s="39"/>
    </row>
    <row r="770" spans="6:6" x14ac:dyDescent="0.3">
      <c r="F770" s="39"/>
    </row>
    <row r="771" spans="6:6" x14ac:dyDescent="0.3">
      <c r="F771" s="39"/>
    </row>
    <row r="772" spans="6:6" x14ac:dyDescent="0.3">
      <c r="F772" s="39"/>
    </row>
    <row r="773" spans="6:6" x14ac:dyDescent="0.3">
      <c r="F773" s="39"/>
    </row>
    <row r="774" spans="6:6" x14ac:dyDescent="0.3">
      <c r="F774" s="39"/>
    </row>
    <row r="775" spans="6:6" x14ac:dyDescent="0.3">
      <c r="F775" s="39"/>
    </row>
    <row r="776" spans="6:6" x14ac:dyDescent="0.3">
      <c r="F776" s="39"/>
    </row>
    <row r="777" spans="6:6" x14ac:dyDescent="0.3">
      <c r="F777" s="39"/>
    </row>
    <row r="778" spans="6:6" x14ac:dyDescent="0.3">
      <c r="F778" s="39"/>
    </row>
    <row r="779" spans="6:6" x14ac:dyDescent="0.3">
      <c r="F779" s="39"/>
    </row>
    <row r="780" spans="6:6" x14ac:dyDescent="0.3">
      <c r="F780" s="39"/>
    </row>
    <row r="781" spans="6:6" x14ac:dyDescent="0.3">
      <c r="F781" s="39"/>
    </row>
    <row r="782" spans="6:6" x14ac:dyDescent="0.3">
      <c r="F782" s="39"/>
    </row>
    <row r="783" spans="6:6" x14ac:dyDescent="0.3">
      <c r="F783" s="39"/>
    </row>
    <row r="784" spans="6:6" x14ac:dyDescent="0.3">
      <c r="F784" s="39"/>
    </row>
    <row r="785" spans="6:6" x14ac:dyDescent="0.3">
      <c r="F785" s="39"/>
    </row>
    <row r="786" spans="6:6" x14ac:dyDescent="0.3">
      <c r="F786" s="39"/>
    </row>
    <row r="787" spans="6:6" x14ac:dyDescent="0.3">
      <c r="F787" s="39"/>
    </row>
    <row r="788" spans="6:6" x14ac:dyDescent="0.3">
      <c r="F788" s="39"/>
    </row>
    <row r="789" spans="6:6" x14ac:dyDescent="0.3">
      <c r="F789" s="39"/>
    </row>
    <row r="790" spans="6:6" x14ac:dyDescent="0.3">
      <c r="F790" s="39"/>
    </row>
    <row r="791" spans="6:6" x14ac:dyDescent="0.3">
      <c r="F791" s="39"/>
    </row>
    <row r="792" spans="6:6" x14ac:dyDescent="0.3">
      <c r="F792" s="39"/>
    </row>
    <row r="793" spans="6:6" x14ac:dyDescent="0.3">
      <c r="F793" s="39"/>
    </row>
    <row r="794" spans="6:6" x14ac:dyDescent="0.3">
      <c r="F794" s="39"/>
    </row>
    <row r="795" spans="6:6" x14ac:dyDescent="0.3">
      <c r="F795" s="39"/>
    </row>
    <row r="796" spans="6:6" x14ac:dyDescent="0.3">
      <c r="F796" s="39"/>
    </row>
    <row r="797" spans="6:6" x14ac:dyDescent="0.3">
      <c r="F797" s="39"/>
    </row>
    <row r="798" spans="6:6" x14ac:dyDescent="0.3">
      <c r="F798" s="39"/>
    </row>
    <row r="799" spans="6:6" x14ac:dyDescent="0.3">
      <c r="F799" s="39"/>
    </row>
    <row r="800" spans="6:6" x14ac:dyDescent="0.3">
      <c r="F800" s="39"/>
    </row>
    <row r="801" spans="6:6" x14ac:dyDescent="0.3">
      <c r="F801" s="39"/>
    </row>
    <row r="802" spans="6:6" x14ac:dyDescent="0.3">
      <c r="F802" s="39"/>
    </row>
    <row r="803" spans="6:6" x14ac:dyDescent="0.3">
      <c r="F803" s="39"/>
    </row>
    <row r="804" spans="6:6" x14ac:dyDescent="0.3">
      <c r="F804" s="39"/>
    </row>
    <row r="805" spans="6:6" x14ac:dyDescent="0.3">
      <c r="F805" s="39"/>
    </row>
    <row r="806" spans="6:6" x14ac:dyDescent="0.3">
      <c r="F806" s="39"/>
    </row>
    <row r="807" spans="6:6" x14ac:dyDescent="0.3">
      <c r="F807" s="39"/>
    </row>
    <row r="808" spans="6:6" x14ac:dyDescent="0.3">
      <c r="F808" s="39"/>
    </row>
    <row r="809" spans="6:6" x14ac:dyDescent="0.3">
      <c r="F809" s="39"/>
    </row>
    <row r="810" spans="6:6" x14ac:dyDescent="0.3">
      <c r="F810" s="39"/>
    </row>
    <row r="811" spans="6:6" x14ac:dyDescent="0.3">
      <c r="F811" s="39"/>
    </row>
    <row r="812" spans="6:6" x14ac:dyDescent="0.3">
      <c r="F812" s="39"/>
    </row>
    <row r="813" spans="6:6" x14ac:dyDescent="0.3">
      <c r="F813" s="39"/>
    </row>
    <row r="814" spans="6:6" x14ac:dyDescent="0.3">
      <c r="F814" s="39"/>
    </row>
    <row r="815" spans="6:6" x14ac:dyDescent="0.3">
      <c r="F815" s="39"/>
    </row>
    <row r="816" spans="6:6" x14ac:dyDescent="0.3">
      <c r="F816" s="39"/>
    </row>
    <row r="817" spans="6:6" x14ac:dyDescent="0.3">
      <c r="F817" s="39"/>
    </row>
    <row r="818" spans="6:6" x14ac:dyDescent="0.3">
      <c r="F818" s="39"/>
    </row>
    <row r="819" spans="6:6" x14ac:dyDescent="0.3">
      <c r="F819" s="39"/>
    </row>
    <row r="820" spans="6:6" x14ac:dyDescent="0.3">
      <c r="F820" s="39"/>
    </row>
    <row r="821" spans="6:6" x14ac:dyDescent="0.3">
      <c r="F821" s="39"/>
    </row>
    <row r="822" spans="6:6" x14ac:dyDescent="0.3">
      <c r="F822" s="39"/>
    </row>
    <row r="823" spans="6:6" x14ac:dyDescent="0.3">
      <c r="F823" s="39"/>
    </row>
    <row r="824" spans="6:6" x14ac:dyDescent="0.3">
      <c r="F824" s="39"/>
    </row>
    <row r="825" spans="6:6" x14ac:dyDescent="0.3">
      <c r="F825" s="39"/>
    </row>
    <row r="826" spans="6:6" x14ac:dyDescent="0.3">
      <c r="F826" s="39"/>
    </row>
    <row r="827" spans="6:6" x14ac:dyDescent="0.3">
      <c r="F827" s="39"/>
    </row>
    <row r="828" spans="6:6" x14ac:dyDescent="0.3">
      <c r="F828" s="39"/>
    </row>
    <row r="829" spans="6:6" x14ac:dyDescent="0.3">
      <c r="F829" s="39"/>
    </row>
    <row r="830" spans="6:6" x14ac:dyDescent="0.3">
      <c r="F830" s="39"/>
    </row>
    <row r="831" spans="6:6" x14ac:dyDescent="0.3">
      <c r="F831" s="39"/>
    </row>
    <row r="832" spans="6:6" x14ac:dyDescent="0.3">
      <c r="F832" s="39"/>
    </row>
    <row r="833" spans="6:6" x14ac:dyDescent="0.3">
      <c r="F833" s="39"/>
    </row>
    <row r="834" spans="6:6" x14ac:dyDescent="0.3">
      <c r="F834" s="39"/>
    </row>
    <row r="835" spans="6:6" x14ac:dyDescent="0.3">
      <c r="F835" s="39"/>
    </row>
    <row r="836" spans="6:6" x14ac:dyDescent="0.3">
      <c r="F836" s="39"/>
    </row>
    <row r="837" spans="6:6" x14ac:dyDescent="0.3">
      <c r="F837" s="39"/>
    </row>
    <row r="838" spans="6:6" x14ac:dyDescent="0.3">
      <c r="F838" s="39"/>
    </row>
    <row r="839" spans="6:6" x14ac:dyDescent="0.3">
      <c r="F839" s="39"/>
    </row>
    <row r="840" spans="6:6" x14ac:dyDescent="0.3">
      <c r="F840" s="39"/>
    </row>
    <row r="841" spans="6:6" x14ac:dyDescent="0.3">
      <c r="F841" s="39"/>
    </row>
    <row r="842" spans="6:6" x14ac:dyDescent="0.3">
      <c r="F842" s="39"/>
    </row>
    <row r="843" spans="6:6" x14ac:dyDescent="0.3">
      <c r="F843" s="39"/>
    </row>
    <row r="844" spans="6:6" x14ac:dyDescent="0.3">
      <c r="F844" s="39"/>
    </row>
    <row r="845" spans="6:6" x14ac:dyDescent="0.3">
      <c r="F845" s="39"/>
    </row>
    <row r="846" spans="6:6" x14ac:dyDescent="0.3">
      <c r="F846" s="39"/>
    </row>
    <row r="847" spans="6:6" x14ac:dyDescent="0.3">
      <c r="F847" s="39"/>
    </row>
    <row r="848" spans="6:6" x14ac:dyDescent="0.3">
      <c r="F848" s="39"/>
    </row>
    <row r="849" spans="6:6" x14ac:dyDescent="0.3">
      <c r="F849" s="39"/>
    </row>
    <row r="850" spans="6:6" x14ac:dyDescent="0.3">
      <c r="F850" s="39"/>
    </row>
    <row r="851" spans="6:6" x14ac:dyDescent="0.3">
      <c r="F851" s="39"/>
    </row>
    <row r="852" spans="6:6" x14ac:dyDescent="0.3">
      <c r="F852" s="39"/>
    </row>
    <row r="853" spans="6:6" x14ac:dyDescent="0.3">
      <c r="F853" s="39"/>
    </row>
    <row r="854" spans="6:6" x14ac:dyDescent="0.3">
      <c r="F854" s="39"/>
    </row>
    <row r="855" spans="6:6" x14ac:dyDescent="0.3">
      <c r="F855" s="39"/>
    </row>
    <row r="856" spans="6:6" x14ac:dyDescent="0.3">
      <c r="F856" s="39"/>
    </row>
    <row r="857" spans="6:6" x14ac:dyDescent="0.3">
      <c r="F857" s="39"/>
    </row>
    <row r="858" spans="6:6" x14ac:dyDescent="0.3">
      <c r="F858" s="39"/>
    </row>
    <row r="859" spans="6:6" x14ac:dyDescent="0.3">
      <c r="F859" s="39"/>
    </row>
    <row r="860" spans="6:6" x14ac:dyDescent="0.3">
      <c r="F860" s="39"/>
    </row>
    <row r="861" spans="6:6" x14ac:dyDescent="0.3">
      <c r="F861" s="39"/>
    </row>
    <row r="862" spans="6:6" x14ac:dyDescent="0.3">
      <c r="F862" s="39"/>
    </row>
    <row r="863" spans="6:6" x14ac:dyDescent="0.3">
      <c r="F863" s="39"/>
    </row>
    <row r="864" spans="6:6" x14ac:dyDescent="0.3">
      <c r="F864" s="39"/>
    </row>
    <row r="865" spans="6:6" x14ac:dyDescent="0.3">
      <c r="F865" s="39"/>
    </row>
    <row r="866" spans="6:6" x14ac:dyDescent="0.3">
      <c r="F866" s="39"/>
    </row>
    <row r="867" spans="6:6" x14ac:dyDescent="0.3">
      <c r="F867" s="39"/>
    </row>
    <row r="868" spans="6:6" x14ac:dyDescent="0.3">
      <c r="F868" s="39"/>
    </row>
    <row r="869" spans="6:6" x14ac:dyDescent="0.3">
      <c r="F869" s="39"/>
    </row>
    <row r="870" spans="6:6" x14ac:dyDescent="0.3">
      <c r="F870" s="39"/>
    </row>
    <row r="871" spans="6:6" x14ac:dyDescent="0.3">
      <c r="F871" s="39"/>
    </row>
    <row r="872" spans="6:6" x14ac:dyDescent="0.3">
      <c r="F872" s="39"/>
    </row>
    <row r="873" spans="6:6" x14ac:dyDescent="0.3">
      <c r="F873" s="39"/>
    </row>
    <row r="874" spans="6:6" x14ac:dyDescent="0.3">
      <c r="F874" s="39"/>
    </row>
    <row r="875" spans="6:6" x14ac:dyDescent="0.3">
      <c r="F875" s="39"/>
    </row>
    <row r="876" spans="6:6" x14ac:dyDescent="0.3">
      <c r="F876" s="39"/>
    </row>
    <row r="877" spans="6:6" x14ac:dyDescent="0.3">
      <c r="F877" s="39"/>
    </row>
    <row r="878" spans="6:6" x14ac:dyDescent="0.3">
      <c r="F878" s="39"/>
    </row>
    <row r="879" spans="6:6" x14ac:dyDescent="0.3">
      <c r="F879" s="39"/>
    </row>
    <row r="880" spans="6:6" x14ac:dyDescent="0.3">
      <c r="F880" s="39"/>
    </row>
    <row r="881" spans="6:6" x14ac:dyDescent="0.3">
      <c r="F881" s="39"/>
    </row>
    <row r="882" spans="6:6" x14ac:dyDescent="0.3">
      <c r="F882" s="39"/>
    </row>
    <row r="883" spans="6:6" x14ac:dyDescent="0.3">
      <c r="F883" s="39"/>
    </row>
    <row r="884" spans="6:6" x14ac:dyDescent="0.3">
      <c r="F884" s="39"/>
    </row>
    <row r="885" spans="6:6" x14ac:dyDescent="0.3">
      <c r="F885" s="39"/>
    </row>
    <row r="886" spans="6:6" x14ac:dyDescent="0.3">
      <c r="F886" s="39"/>
    </row>
    <row r="887" spans="6:6" x14ac:dyDescent="0.3">
      <c r="F887" s="39"/>
    </row>
    <row r="888" spans="6:6" x14ac:dyDescent="0.3">
      <c r="F888" s="39"/>
    </row>
    <row r="889" spans="6:6" x14ac:dyDescent="0.3">
      <c r="F889" s="39"/>
    </row>
    <row r="890" spans="6:6" x14ac:dyDescent="0.3">
      <c r="F890" s="39"/>
    </row>
    <row r="891" spans="6:6" x14ac:dyDescent="0.3">
      <c r="F891" s="39"/>
    </row>
    <row r="892" spans="6:6" x14ac:dyDescent="0.3">
      <c r="F892" s="39"/>
    </row>
    <row r="893" spans="6:6" x14ac:dyDescent="0.3">
      <c r="F893" s="39"/>
    </row>
    <row r="894" spans="6:6" x14ac:dyDescent="0.3">
      <c r="F894" s="39"/>
    </row>
    <row r="895" spans="6:6" x14ac:dyDescent="0.3">
      <c r="F895" s="39"/>
    </row>
    <row r="896" spans="6:6" x14ac:dyDescent="0.3">
      <c r="F896" s="39"/>
    </row>
    <row r="897" spans="6:6" x14ac:dyDescent="0.3">
      <c r="F897" s="39"/>
    </row>
    <row r="898" spans="6:6" x14ac:dyDescent="0.3">
      <c r="F898" s="39"/>
    </row>
    <row r="899" spans="6:6" x14ac:dyDescent="0.3">
      <c r="F899" s="39"/>
    </row>
    <row r="900" spans="6:6" x14ac:dyDescent="0.3">
      <c r="F900" s="39"/>
    </row>
    <row r="901" spans="6:6" x14ac:dyDescent="0.3">
      <c r="F901" s="39"/>
    </row>
    <row r="902" spans="6:6" x14ac:dyDescent="0.3">
      <c r="F902" s="39"/>
    </row>
    <row r="903" spans="6:6" x14ac:dyDescent="0.3">
      <c r="F903" s="39"/>
    </row>
    <row r="904" spans="6:6" x14ac:dyDescent="0.3">
      <c r="F904" s="39"/>
    </row>
    <row r="905" spans="6:6" x14ac:dyDescent="0.3">
      <c r="F905" s="39"/>
    </row>
    <row r="906" spans="6:6" x14ac:dyDescent="0.3">
      <c r="F906" s="39"/>
    </row>
    <row r="907" spans="6:6" x14ac:dyDescent="0.3">
      <c r="F907" s="39"/>
    </row>
    <row r="908" spans="6:6" x14ac:dyDescent="0.3">
      <c r="F908" s="39"/>
    </row>
    <row r="909" spans="6:6" x14ac:dyDescent="0.3">
      <c r="F909" s="39"/>
    </row>
    <row r="910" spans="6:6" x14ac:dyDescent="0.3">
      <c r="F910" s="39"/>
    </row>
    <row r="911" spans="6:6" x14ac:dyDescent="0.3">
      <c r="F911" s="39"/>
    </row>
    <row r="912" spans="6:6" x14ac:dyDescent="0.3">
      <c r="F912" s="39"/>
    </row>
    <row r="913" spans="6:6" x14ac:dyDescent="0.3">
      <c r="F913" s="39"/>
    </row>
    <row r="914" spans="6:6" x14ac:dyDescent="0.3">
      <c r="F914" s="39"/>
    </row>
    <row r="915" spans="6:6" x14ac:dyDescent="0.3">
      <c r="F915" s="39"/>
    </row>
    <row r="916" spans="6:6" x14ac:dyDescent="0.3">
      <c r="F916" s="39"/>
    </row>
    <row r="917" spans="6:6" x14ac:dyDescent="0.3">
      <c r="F917" s="39"/>
    </row>
    <row r="918" spans="6:6" x14ac:dyDescent="0.3">
      <c r="F918" s="39"/>
    </row>
    <row r="919" spans="6:6" x14ac:dyDescent="0.3">
      <c r="F919" s="39"/>
    </row>
    <row r="920" spans="6:6" x14ac:dyDescent="0.3">
      <c r="F920" s="39"/>
    </row>
    <row r="921" spans="6:6" x14ac:dyDescent="0.3">
      <c r="F921" s="39"/>
    </row>
    <row r="922" spans="6:6" x14ac:dyDescent="0.3">
      <c r="F922" s="39"/>
    </row>
    <row r="923" spans="6:6" x14ac:dyDescent="0.3">
      <c r="F923" s="39"/>
    </row>
    <row r="924" spans="6:6" x14ac:dyDescent="0.3">
      <c r="F924" s="39"/>
    </row>
    <row r="925" spans="6:6" x14ac:dyDescent="0.3">
      <c r="F925" s="39"/>
    </row>
    <row r="926" spans="6:6" x14ac:dyDescent="0.3">
      <c r="F926" s="39"/>
    </row>
    <row r="927" spans="6:6" x14ac:dyDescent="0.3">
      <c r="F927" s="39"/>
    </row>
    <row r="928" spans="6:6" x14ac:dyDescent="0.3">
      <c r="F928" s="39"/>
    </row>
    <row r="929" spans="6:6" x14ac:dyDescent="0.3">
      <c r="F929" s="39"/>
    </row>
    <row r="930" spans="6:6" x14ac:dyDescent="0.3">
      <c r="F930" s="39"/>
    </row>
    <row r="931" spans="6:6" x14ac:dyDescent="0.3">
      <c r="F931" s="39"/>
    </row>
    <row r="932" spans="6:6" x14ac:dyDescent="0.3">
      <c r="F932" s="39"/>
    </row>
    <row r="933" spans="6:6" x14ac:dyDescent="0.3">
      <c r="F933" s="39"/>
    </row>
    <row r="934" spans="6:6" x14ac:dyDescent="0.3">
      <c r="F934" s="39"/>
    </row>
    <row r="935" spans="6:6" x14ac:dyDescent="0.3">
      <c r="F935" s="39"/>
    </row>
    <row r="936" spans="6:6" x14ac:dyDescent="0.3">
      <c r="F936" s="39"/>
    </row>
    <row r="937" spans="6:6" x14ac:dyDescent="0.3">
      <c r="F937" s="39"/>
    </row>
    <row r="938" spans="6:6" x14ac:dyDescent="0.3">
      <c r="F938" s="39"/>
    </row>
    <row r="939" spans="6:6" x14ac:dyDescent="0.3">
      <c r="F939" s="39"/>
    </row>
    <row r="940" spans="6:6" x14ac:dyDescent="0.3">
      <c r="F940" s="39"/>
    </row>
    <row r="941" spans="6:6" x14ac:dyDescent="0.3">
      <c r="F941" s="39"/>
    </row>
    <row r="942" spans="6:6" x14ac:dyDescent="0.3">
      <c r="F942" s="39"/>
    </row>
    <row r="943" spans="6:6" x14ac:dyDescent="0.3">
      <c r="F943" s="39"/>
    </row>
    <row r="944" spans="6:6" x14ac:dyDescent="0.3">
      <c r="F944" s="39"/>
    </row>
    <row r="945" spans="6:6" x14ac:dyDescent="0.3">
      <c r="F945" s="39"/>
    </row>
    <row r="946" spans="6:6" x14ac:dyDescent="0.3">
      <c r="F946" s="39"/>
    </row>
    <row r="947" spans="6:6" x14ac:dyDescent="0.3">
      <c r="F947" s="39"/>
    </row>
    <row r="948" spans="6:6" x14ac:dyDescent="0.3">
      <c r="F948" s="39"/>
    </row>
    <row r="949" spans="6:6" x14ac:dyDescent="0.3">
      <c r="F949" s="39"/>
    </row>
    <row r="950" spans="6:6" x14ac:dyDescent="0.3">
      <c r="F950" s="39"/>
    </row>
    <row r="951" spans="6:6" x14ac:dyDescent="0.3">
      <c r="F951" s="39"/>
    </row>
    <row r="952" spans="6:6" x14ac:dyDescent="0.3">
      <c r="F952" s="39"/>
    </row>
    <row r="953" spans="6:6" x14ac:dyDescent="0.3">
      <c r="F953" s="39"/>
    </row>
    <row r="954" spans="6:6" x14ac:dyDescent="0.3">
      <c r="F954" s="39"/>
    </row>
    <row r="955" spans="6:6" x14ac:dyDescent="0.3">
      <c r="F955" s="39"/>
    </row>
    <row r="956" spans="6:6" x14ac:dyDescent="0.3">
      <c r="F956" s="39"/>
    </row>
    <row r="957" spans="6:6" x14ac:dyDescent="0.3">
      <c r="F957" s="39"/>
    </row>
    <row r="958" spans="6:6" x14ac:dyDescent="0.3">
      <c r="F958" s="39"/>
    </row>
    <row r="959" spans="6:6" x14ac:dyDescent="0.3">
      <c r="F959" s="39"/>
    </row>
    <row r="960" spans="6:6" x14ac:dyDescent="0.3">
      <c r="F960" s="39"/>
    </row>
    <row r="961" spans="6:6" x14ac:dyDescent="0.3">
      <c r="F961" s="39"/>
    </row>
    <row r="962" spans="6:6" x14ac:dyDescent="0.3">
      <c r="F962" s="39"/>
    </row>
    <row r="963" spans="6:6" x14ac:dyDescent="0.3">
      <c r="F963" s="39"/>
    </row>
    <row r="964" spans="6:6" x14ac:dyDescent="0.3">
      <c r="F964" s="39"/>
    </row>
    <row r="965" spans="6:6" x14ac:dyDescent="0.3">
      <c r="F965" s="39"/>
    </row>
    <row r="966" spans="6:6" x14ac:dyDescent="0.3">
      <c r="F966" s="39"/>
    </row>
    <row r="967" spans="6:6" x14ac:dyDescent="0.3">
      <c r="F967" s="39"/>
    </row>
    <row r="968" spans="6:6" x14ac:dyDescent="0.3">
      <c r="F968" s="39"/>
    </row>
    <row r="969" spans="6:6" x14ac:dyDescent="0.3">
      <c r="F969" s="39"/>
    </row>
    <row r="970" spans="6:6" x14ac:dyDescent="0.3">
      <c r="F970" s="39"/>
    </row>
    <row r="971" spans="6:6" x14ac:dyDescent="0.3">
      <c r="F971" s="39"/>
    </row>
    <row r="972" spans="6:6" x14ac:dyDescent="0.3">
      <c r="F972" s="39"/>
    </row>
    <row r="973" spans="6:6" x14ac:dyDescent="0.3">
      <c r="F973" s="39"/>
    </row>
    <row r="974" spans="6:6" x14ac:dyDescent="0.3">
      <c r="F974" s="39"/>
    </row>
    <row r="975" spans="6:6" x14ac:dyDescent="0.3">
      <c r="F975" s="39"/>
    </row>
    <row r="976" spans="6:6" x14ac:dyDescent="0.3">
      <c r="F976" s="39"/>
    </row>
    <row r="977" spans="6:6" x14ac:dyDescent="0.3">
      <c r="F977" s="39"/>
    </row>
    <row r="978" spans="6:6" x14ac:dyDescent="0.3">
      <c r="F978" s="39"/>
    </row>
    <row r="979" spans="6:6" x14ac:dyDescent="0.3">
      <c r="F979" s="39"/>
    </row>
    <row r="980" spans="6:6" x14ac:dyDescent="0.3">
      <c r="F980" s="39"/>
    </row>
    <row r="981" spans="6:6" x14ac:dyDescent="0.3">
      <c r="F981" s="39"/>
    </row>
    <row r="982" spans="6:6" x14ac:dyDescent="0.3">
      <c r="F982" s="39"/>
    </row>
    <row r="983" spans="6:6" x14ac:dyDescent="0.3">
      <c r="F983" s="39"/>
    </row>
    <row r="984" spans="6:6" x14ac:dyDescent="0.3">
      <c r="F984" s="39"/>
    </row>
    <row r="985" spans="6:6" x14ac:dyDescent="0.3">
      <c r="F985" s="39"/>
    </row>
    <row r="986" spans="6:6" x14ac:dyDescent="0.3">
      <c r="F986" s="39"/>
    </row>
    <row r="987" spans="6:6" x14ac:dyDescent="0.3">
      <c r="F987" s="39"/>
    </row>
    <row r="988" spans="6:6" x14ac:dyDescent="0.3">
      <c r="F988" s="39"/>
    </row>
    <row r="989" spans="6:6" x14ac:dyDescent="0.3">
      <c r="F989" s="39"/>
    </row>
    <row r="990" spans="6:6" x14ac:dyDescent="0.3">
      <c r="F990" s="39"/>
    </row>
    <row r="991" spans="6:6" x14ac:dyDescent="0.3">
      <c r="F991" s="39"/>
    </row>
    <row r="992" spans="6:6" x14ac:dyDescent="0.3">
      <c r="F992" s="39"/>
    </row>
    <row r="993" spans="6:6" x14ac:dyDescent="0.3">
      <c r="F993" s="39"/>
    </row>
    <row r="994" spans="6:6" x14ac:dyDescent="0.3">
      <c r="F994" s="39"/>
    </row>
    <row r="995" spans="6:6" x14ac:dyDescent="0.3">
      <c r="F995" s="39"/>
    </row>
    <row r="996" spans="6:6" x14ac:dyDescent="0.3">
      <c r="F996" s="39"/>
    </row>
    <row r="997" spans="6:6" x14ac:dyDescent="0.3">
      <c r="F997" s="39"/>
    </row>
    <row r="998" spans="6:6" x14ac:dyDescent="0.3">
      <c r="F998" s="39"/>
    </row>
    <row r="999" spans="6:6" x14ac:dyDescent="0.3">
      <c r="F999" s="39"/>
    </row>
    <row r="1000" spans="6:6" x14ac:dyDescent="0.3">
      <c r="F1000" s="39"/>
    </row>
  </sheetData>
  <hyperlinks>
    <hyperlink ref="E24" r:id="rId2" display="mailto:jrmoreno@devam.com.mx" xr:uid="{00000000-0004-0000-0F00-000000000000}"/>
    <hyperlink ref="E25" r:id="rId3" display="mailto:jrmoreno@devam.com.mx" xr:uid="{00000000-0004-0000-0F00-000001000000}"/>
    <hyperlink ref="A26" r:id="rId4" display="mailto:jrmoreno@devam.com.mx" xr:uid="{00000000-0004-0000-0F00-000002000000}"/>
    <hyperlink ref="D28" r:id="rId5" display="mailto:svilla@devam.com.mx" xr:uid="{00000000-0004-0000-0F00-000003000000}"/>
    <hyperlink ref="E28" r:id="rId6" display="mailto:vvilla@devam.com.mx" xr:uid="{00000000-0004-0000-0F00-000004000000}"/>
    <hyperlink ref="D29" r:id="rId7" display="mailto:svilla@devam.com.mx" xr:uid="{00000000-0004-0000-0F00-000005000000}"/>
    <hyperlink ref="E29" r:id="rId8" display="mailto:vvilla@devam.com.mx" xr:uid="{00000000-0004-0000-0F00-000006000000}"/>
    <hyperlink ref="D30" r:id="rId9" display="mailto:svilla@devam.com.mx" xr:uid="{00000000-0004-0000-0F00-000007000000}"/>
    <hyperlink ref="A44" r:id="rId10" display="mailto:svilla@devam.com.mx" xr:uid="{00000000-0004-0000-0F00-000008000000}"/>
    <hyperlink ref="A49" r:id="rId11" display="mailto:vvilla@devam.com.mx" xr:uid="{00000000-0004-0000-0F00-000009000000}"/>
    <hyperlink ref="D49" r:id="rId12" display="mailto:svilla@devam.com.mx" xr:uid="{00000000-0004-0000-0F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KPIs 2T</vt:lpstr>
      <vt:lpstr>KPIs Q2 por persona</vt:lpstr>
      <vt:lpstr>KPIs Q2 por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Saul Villa</cp:lastModifiedBy>
  <dcterms:created xsi:type="dcterms:W3CDTF">2026-04-16T18:35:46Z</dcterms:created>
  <dcterms:modified xsi:type="dcterms:W3CDTF">2026-04-16T18:35:46Z</dcterms:modified>
</cp:coreProperties>
</file>